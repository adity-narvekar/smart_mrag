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mc:AlternateContent xmlns:mc="http://schemas.openxmlformats.org/markup-compatibility/2006">
    <mc:Choice Requires="x15">
      <x15ac:absPath xmlns:x15ac="http://schemas.microsoft.com/office/spreadsheetml/2010/11/ac" url="/Users/adityanarvekar/Library/CloudStorage/GoogleDrive-aditya.narvekar@gmail.com/My Drive/Research/Smart MRAG/"/>
    </mc:Choice>
  </mc:AlternateContent>
  <xr:revisionPtr revIDLastSave="0" documentId="13_ncr:1_{00E42661-2D0A-AA4D-817C-1E916F63A76A}" xr6:coauthVersionLast="47" xr6:coauthVersionMax="47" xr10:uidLastSave="{00000000-0000-0000-0000-000000000000}"/>
  <bookViews>
    <workbookView xWindow="1840" yWindow="1340" windowWidth="43400" windowHeight="18500" activeTab="5" xr2:uid="{00000000-000D-0000-FFFF-FFFF00000000}"/>
  </bookViews>
  <sheets>
    <sheet name="IBM" sheetId="1" r:id="rId1"/>
    <sheet name="Meta" sheetId="2" r:id="rId2"/>
    <sheet name="Microsoft" sheetId="3" r:id="rId3"/>
    <sheet name="Apple" sheetId="4" r:id="rId4"/>
    <sheet name="Google" sheetId="5" r:id="rId5"/>
    <sheet name="Consolidated result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3" i="6" l="1"/>
  <c r="L23" i="6"/>
  <c r="H23" i="6"/>
  <c r="G23" i="6"/>
  <c r="J20" i="5"/>
  <c r="K20" i="5"/>
  <c r="I20" i="5"/>
  <c r="J20" i="4"/>
  <c r="K20" i="4"/>
  <c r="I20" i="4"/>
  <c r="J20" i="3"/>
  <c r="K20" i="3"/>
  <c r="I20" i="3"/>
  <c r="J19" i="2"/>
  <c r="K19" i="2"/>
  <c r="I19" i="2"/>
  <c r="K20" i="1"/>
  <c r="J20" i="1"/>
  <c r="I20" i="1"/>
  <c r="H20" i="5"/>
  <c r="G20" i="5"/>
  <c r="F20" i="5"/>
  <c r="G20" i="4"/>
  <c r="H20" i="4"/>
  <c r="F20" i="4"/>
  <c r="H20" i="3"/>
  <c r="G20" i="3"/>
  <c r="F20" i="3"/>
  <c r="F20" i="2"/>
  <c r="H20" i="2"/>
  <c r="G20" i="2"/>
  <c r="H20" i="1"/>
  <c r="G20" i="1"/>
  <c r="F20" i="1"/>
</calcChain>
</file>

<file path=xl/sharedStrings.xml><?xml version="1.0" encoding="utf-8"?>
<sst xmlns="http://schemas.openxmlformats.org/spreadsheetml/2006/main" count="524" uniqueCount="287">
  <si>
    <t>Category</t>
  </si>
  <si>
    <t>Question</t>
  </si>
  <si>
    <t>Smart MRAG Answer</t>
  </si>
  <si>
    <t>Text-Based RAG Answer</t>
  </si>
  <si>
    <t>Multi-modal RAG Answer</t>
  </si>
  <si>
    <t>Token Count (SMRAG)</t>
  </si>
  <si>
    <t>Token Count (Text-RAG)</t>
  </si>
  <si>
    <t>Token Count (Multi-modal)</t>
  </si>
  <si>
    <t>Accuracy Rating (SMRAG)</t>
  </si>
  <si>
    <t>Accuracy Rating (Text-RAG)</t>
  </si>
  <si>
    <t>Accuracy Rating (Multi-modal)</t>
  </si>
  <si>
    <t>Ideal Answer (if needed)</t>
  </si>
  <si>
    <t>Knowledge</t>
  </si>
  <si>
    <t>KB1: What was the total revenue for fiscal 2024?</t>
  </si>
  <si>
    <t>The total revenue for fiscal 2024 was $62,753 million.</t>
  </si>
  <si>
    <t>To find the total revenue for fiscal 2024, you need to refer to the information given for the revenue by segment. According to the data provided, the revenue from software for fiscal 2024 is $27,085. Therefore, the total revenue for fiscal 2024 from the software segment is $27,085. If there are additional segments not shown in the context, you would need to add those figures as well to get the complete total revenue for fiscal 2024.</t>
  </si>
  <si>
    <t>The total revenue for fiscal 2024 was $59,611 million.</t>
  </si>
  <si>
    <t>KB2: What is the reported net income?</t>
  </si>
  <si>
    <t>The reported net income for the year ended December 31, 2024, is $6.0 billion. For the three months ended December 31, 2024, it is $2.9 billion.</t>
  </si>
  <si>
    <t>The reported net incomes, as per the provided context, are $2.9, $3.3, $6.0, and $7.5. The numbers in parentheses, $-0.4 and $-1.5, are likely changes or differences, not individual net income figures. Therefore, the net income amounts are $2.9, $3.3, $6.0, and $7.5.</t>
  </si>
  <si>
    <t>I can't extract specific data directly from the image you've provided. However, if you can upload a clearer section of the document that specifically shows the net income, I might be able to help with that information. Alternatively, you can describe or transcribe the figures, and I can assist you further.</t>
  </si>
  <si>
    <t>KB3: What were the total operating expenses for fiscal 2024?</t>
  </si>
  <si>
    <t>The image does not provide information on the total operating expenses for fiscal 2024. It focuses on GAAP operating cash flow and free cash flow reconciliation. You may need to find another document or section detailing operating expenses.</t>
  </si>
  <si>
    <t>The provided context does not contain explicit information regarding the total operating expenses for fiscal 2024. The figures listed represent net cash from operations for certain periods, but to find the total operating expenses, additional details such as revenues and net income or specific expense breakdowns are needed from the financial statements.</t>
  </si>
  <si>
    <t>The total operating expenses for fiscal 2024 were \$21,402 million.</t>
  </si>
  <si>
    <t>KB4: What is the company's cash and cash equivalents balance as of fiscal 2024?</t>
  </si>
  <si>
    <t>The company's cash and cash equivalents balance as of December 31, 2024, is $13,947 million.</t>
  </si>
  <si>
    <t>The company's cash and cash equivalents balance as of fiscal 2024 is $13,947.</t>
  </si>
  <si>
    <t>The cash and cash equivalents balance as of fiscal 2024 is $20.6 million.</t>
  </si>
  <si>
    <t>Reasoning</t>
  </si>
  <si>
    <t>RL1: Based on the trends over the past three years, what inference can you make about revenue growth?</t>
  </si>
  <si>
    <t>Based on the data provided for the International Business Machines Corporation:
1. **Software:**
   - Revenue increased from $25,011 million in 2023 to $27,085 million in 2024, showing growth in both years with an 8.3% year-to-year (YTY) increase for 2024.
2. **Consulting:**
   - Revenue decreased marginally from $20,884 million in 2023 to $20,692 million in 2024, resulting in a slight decline highlighted by a (0.9%) YTY change.
3. **Infrastructure:**
   - Revenue saw a decrease from $14,593 million in 2023 to $14,020 million in 2024, reflecting a (3.9%) YTY decline.
4. **Financing:**
   - Revenue decreased from $741 million in 2023 to $713 million in 2024, resulting in a (3.7%) YTY decline.
**Overall Inference:**
- The software segment shows strong and consistent revenue growth, driving the overall positive trend for the company.
- The consulting, infrastructure, and financing segments have experienced slight revenue declines.
- The software segment appears to be the primary growth driver for the company's revenue in the given period.</t>
  </si>
  <si>
    <t>To make an inference about revenue growth based on the given year-to-year (YTY) constant currency changes over a three-year period ending December 31, 2023, let's assess the trends:
1. The YTY revenue change percentages mentioned are as follows: 11.5%, (1.1)%, (6.0)%, and (0.5)%. 
2. The context specifies that these are constant currency changes, meaning the effects of currency fluctuations have been excluded for an apples-to-apples comparison over time.
From this data:
- There is a strong positive growth in one period at 11.5%, indicating a significant increase in revenue during that timeframe.
- The subsequent periods show a decrease: (1.1)%, (6.0)%, and (0.5)%. This suggests a declining trend in revenue growth following the initial increase.
- The most recent decline of (0.5)% is relatively small compared to the (6.0)% decline, which may suggest a deceleration in the negative growth trend.
Inference:
Based on these observations, over the past three years, the company initially experienced robust revenue growth, but this was followed by a decline. Despite the downward trend, the slight reduction in the rate of decline in the most recent period could imply stabilization or a potential bottoming out of the negative trend, possibly positioning for a rebound or stabilization in future periods. However, this requires further data to confirm any shift towards positive growth.</t>
  </si>
  <si>
    <t>To infer about revenue growth over the past three years from the provided document, I would focus on the financial data in the tables. Let's identify the key trends:
1. **Review the Revenue Figures:** Check the reported total revenue for each year. Look for increases or decreases, and calculate the percentage change year-over-year to quantify the growth.
2. **Identify Key Drivers:** Look for sections discussing changes in revenue. This might include product lines, geographical regions, or market conditions that impacted revenue.
3. **Assess Consistency:** Determine if the growth is consistent or fluctuates sharply, indicating potential instability or seasonal trends.
4. **External Factors:** Consider any notes regarding economic conditions, changes in regulation, or industry shifts that are mentioned in the text and might explain the trends.
By analyzing these aspects, you can derive a comprehensive understanding of the revenue growth over the past three years. If the document indicates consistent growth, it suggests a positive trend, whereas fluctuations or declines may signify challenges that need addressing.</t>
  </si>
  <si>
    <t>RL2: How has the company’s gross margin evolved and what does this suggest about operational efficiency?</t>
  </si>
  <si>
    <t>The table provides gross margin figures for the years ended December 31, 2024, and 2023.
- **2024 (GAAP)**: Gross margin is 56.7%
- **2023 (GAAP)**: Gross margin is 55.4%
The gross margin increased from 55.4% in 2023 to 56.7% in 2024, suggesting improved operational efficiency. A higher gross margin indicates that the company is generating more profit from each dollar of sales after accounting for the cost of goods sold, which can imply better cost management or increased sales prices relative to costs.</t>
  </si>
  <si>
    <t>The company’s gross profit margin decreased from 56.5% to 55.4%, reflecting a decline of 1.0 percentage point. This change suggests a potential decrease in operational efficiency, as a lower gross profit margin indicates that the company is making less profit from its sales after accounting for the cost of goods sold. If this trend continues, it may signal increasing production costs or pricing pressures, which could affect the company's overall profitability. However, further details would be needed to provide a more comprehensive analysis, such as changes in sales volume, cost structure, or market conditions.</t>
  </si>
  <si>
    <t>To evaluate how the company's gross margin has evolved, we'll need to look at the financial figures presented in the image.
### Analysis Steps:
1. **Locate Gross Margin Information:**
   - Find the section of the financial statement that provides figures for revenue and cost of goods sold (COGS).
   - Compute gross margin using the formula:
     \[
     \text{Gross Margin} = \frac{\text{Revenue} - \text{COGS}}{\text{Revenue}} \times 100
     \]
2. **Observe Changes Over Time:**
   - Compare the gross margin figures across different periods mentioned in the document.
3. **Interpret Operational Efficiency:**
   - An increasing gross margin typically suggests improved operational efficiency, indicating better cost management or increased pricing power.
   - A declining gross margin may suggest rising costs or competitive pressures impacting pricing.
#### Key Observations:
- Ensure you identify whether the gross margin percentage is increasing, stable, or decreasing over the periods compared.
- Discuss potential reasons such as production efficiencies, changes in pricing strategy, or fluctuations in raw material costs that might explain the observed trends.
Would you like a more detailed extraction of these figures, or is there a specific period you want to focus on?</t>
  </si>
  <si>
    <t>RL3: Based on historical trends, how does the company's investment in R&amp;D correlate with its revenue growth?</t>
  </si>
  <si>
    <t>To analyze the correlation between the company’s investment in R&amp;D and its revenue growth, we can look at the R&amp;D expenditure and compare it to the revenue figures from the data provided:
### R&amp;D Expenses:
- 2024: $1,967 million
- 2023: $1,748 million
### Total Revenue:
- 2024: $62,753 million
- 2023: $61,860 million
### Analysis:
1. **R&amp;D Investment Increase**: There was an increase in R&amp;D expenses from $1,748 million in 2023 to $1,967 million in 2024.
2. **Revenue Growth**: Total revenue increased from $61,860 million in 2023 to $62,753 million in 2024.
### Correlation Insights:
- Both R&amp;D investment and revenue showed an upward trend from 2023 to 2024.
- A specific measure of correlation (like a correlation coefficient) cannot be determined from just two data points without additional years for comparison. However, a simultaneous increase in R&amp;D investment and revenue may suggest a positive relationship, assuming other factors remain constant.
To better understand the correlation, additional historical data points over more years would be necessary to analyze trends more accurately.</t>
  </si>
  <si>
    <t>To assess the correlation between a company's investment in research and development (R&amp;D) and its revenue growth, you would typically examine whether increases in R&amp;D spending are followed by increases in revenue. From the given context, you have R&amp;D expenditures for two periods, and intellectual property and custom development income for the same periods.
While the exact revenue figures are not provided, the investment in R&amp;D has shown an increase from 1,748 to 1,967 and from 6,775 to 7,479. The negative figures for intellectual property and custom development income (showing a decrease from (242) to (301) and from (860) to (996)) suggest a potential reduction in this specific income stream.
To determine the correlation, you would need to:
1. Gather data over a more extended period to see consistent trends.
2. Compare R&amp;D expenses directly to revenue figures for the same periods.
3. Look for patterns where increases (or decreases) in R&amp;D spending result in similar changes in revenue.
If the historical data shows that increased R&amp;D spending corresponds with revenue growth, it suggests a positive correlation. Conversely, if revenue does not increase despite rising R&amp;D costs, the correlation might be weak or negative. However, this evaluation should generally consider other factors such as market conditions, innovation outcomes, and competitive landscape, as they also influence revenue.</t>
  </si>
  <si>
    <t>To analyze how the company's investment in R&amp;D correlates with its revenue growth, we should examine the trends in both R&amp;D spending and revenue over the years provided in the data.
From the images, identify:
1. The annual R&amp;D expenditure.
2. The annual revenue for the same years.
3. Calculate the percentage change year-over-year for both R&amp;D and revenue.
Once you have this information, look for patterns:
- Does an increase in R&amp;D spending precede revenue growth in the following years?
- Is there a significant correlation between higher R&amp;D spending and higher revenue growth rates?
If precise numbers are available, you can calculate the correlation coefficient to quantify the relationship. If you're unable to gather exact values from the image, a general trend or pattern observation will suffice.</t>
  </si>
  <si>
    <t>RL4: Considering the trends in gross profit margin and net income, what potential challenges can you infer for the company's future profitability?</t>
  </si>
  <si>
    <t>Based on the provided data, here are some potential challenges for the company's future profitability:
1. **Declining Gross Profit Margin**:
   - The gross profit margin has decreased from 56.5% in 2023 to 57.8% in 2024. This decline could indicate increasing cost of goods sold or pricing pressures, which may impact profitability if not managed.
2. **Increasing S,G&amp;A Expenses**:
   - Selling, General, and Administrative (S,G&amp;A) expenses increased from $19,063 million in 2023 to $19,688 million in 2024. Rising operational costs without corresponding revenue growth could squeeze margins.
3. **Inconsistent Net Income**:
   - Although income from continuing operations increased slightly in GAAP terms from $7,514 million to $6,015 million, adjustments for taxes and other factors reduce this figure significantly in 2024. This inconsistency might indicate volatility in the company’s net income, affecting investor confidence.
4. **Tax Rate Variability**:
   - The effective tax rate dramatically changed from 13.5% in 2023 to (3.8)% in 2024, influenced by tax-related impacts and reforms. Such variability could create uncertainties in net income forecasts.
5. **Income Margin Decline**:
   - The income margin from continuing operations shows a decrease from 17.6% in 2023 to 9.2% in 2024. This decline suggests that net earnings, relative to revenue, are reducing, impacting overall profitability.
To navigate these challenges, the company may need to focus on cost management, pricing strategies, and tax planning to stabilize and enhance profitability in the future.</t>
  </si>
  <si>
    <t>Based on the provided context, we can infer some potential challenges that the company may face concerning future profitability:
1. **Decline in Gross Profit Margin**: The gross profit margin decreased from 56.5% to 55.4%, indicating a reduction of 1.1 percentage points. This decline could suggest rising costs of goods sold or pressure on pricing strategies that may not be passed on to customers. Maintaining or improving the gross profit margin is crucial for profitability, so this trend could represent a challenge if it continues.
2. **Stagnation in S,G&amp;A Costs**: The Selling, General, and Administrative (S,G&amp;A) expenses decreased from $19,003 to $17,964, showing a reduction of $1,039. While managing operational expenses efficiently is positive, if these reductions impact critical areas like marketing, customer service, or product development, it might adversely affect future revenue growth and overall profitability.
3. **Pressure on Net Income**: Although specific net income figures are not provided, trends in gross profit margin and S,G&amp;A expenses offer insights into potential net income challenges. If the costs of goods sold continue to increase without a proportional increase in revenue or further reduction in operational expenses, it could compress net income margins.
4. **Market Dynamics and Competitive Pressures**: A decrease in gross profit margin might imply increasing market competition, leading to higher discounting or promos, and squeezed benefits. The company must innovate and adapt to maintain its competitive edge and profitability.
5. **Economic Conditions**: Broader economic conditions, such as inflation, supply chain disruptions, or changing consumer preferences, could further impact the company's cost structure and pricing power, affecting future profitability.
Overall, while cost control in S,G&amp;A is commendable, the declining gross profit margin warrants attention. The company may need to focus on optimizing its supply chain, enhancing operational efficiencies, and adapting innovative strategies to sustain profitability amidst these challenges.</t>
  </si>
  <si>
    <t>Examining the trends in the gross profit margin and net income from the financial statements reveals potential challenges for future profitability:
1. **Declining Gross Profit Margin**: If there's a downward trend in the gross profit margin, this indicates increasing costs of goods sold relative to sales. Potential causes could be rising raw material costs, increased competition leading to lower prices, or inefficiencies in production. If these issues persist, maintaining profitability might become difficult without strategic adjustments.
2. **Fluctuating Net Income**: Variability in net income suggests instability in managing operating and non-operating expenses. This could be due to inconsistent revenue streams, increasing operational costs, or financial management issues. Continuous fluctuations make it hard to predict future performance and plan for growth.
3. **Rising Operating Expenses**: If operating expenses are increasing faster than revenue, it can squeeze net income margins. This could be due to expanded operational activities, increased marketing spend, or higher administrative costs.
4. **Interest and Tax Impacts**: If interest expenses or effective tax rates are impacting net income, managing debt efficiently and exploring tax optimization strategies become crucial to maintain net margins.
5. **External Economic Factors**: Broader economic conditions, such as inflation or exchange rate volatility, might also impact costs and revenue, putting pressure on margins.
Addressing these challenges might involve cost optimization, better pricing strategies, improved operational efficiency, and strategic financial planning to ensure sustainable profitability.</t>
  </si>
  <si>
    <t>Linguistic</t>
  </si>
  <si>
    <t>LU1: What are the key risks mentioned in the report?</t>
  </si>
  <si>
    <t>The key risks mentioned in the report include:
1. Economic downturn and client spending cuts.
2. Failure of innovation initiatives.
3. Damage to company reputation.
4. Failure to protect intellectual property and competitive offerings.
5. Challenges in acquisitions and integrations.
6. Financial market fluctuations.
7. Local and global legal, political, and health events.
8. Failure to meet growth and productivity goals.
9. Ineffective internal controls and accounting estimates.
10. Cybersecurity and data privacy concerns.
11. Impact of climate change and environmental issues.
12. Currency fluctuations and credit risk.
13. Tax issues and legal proceedings.
14. Risks associated with pension plans and finance.
15. Product quality and supply chain issues.</t>
  </si>
  <si>
    <t>The key risks mentioned in the report are: 
1. Reliance on critical skills.
2. Impacts of relationships with critical suppliers.
3. Product quality issues.
4. Impacts on business with government clients.
5. Reliance on third-party distribution channels and ecosystems.
6. Cybersecurity and data privacy considerations.
7. Adverse effects related to climate change and environmental matters.
8. Tax matters.
9. Legal proceedings and investigatory risks.
10. The company’s pension plans.
11. Currency fluctuations and customer financing risks.
12. Impact of changes in the market.</t>
  </si>
  <si>
    <t>I can't directly read the text in images. However, you can let me know the section titles, bullet points, or specific phrases you're interested in, and I'll do my best to help interpret or provide information on those.</t>
  </si>
  <si>
    <t>LU2: In what ways does the company articulate its competitive advantages in the report?</t>
  </si>
  <si>
    <t>The report articulates the company's competitive advantages through the following points:
1. **Growth Expectation**: It anticipates at least a 5% growth in constant currency revenue for the full year, indicating confidence in its market position and strategies.
2. **Free Cash Flow**: The expectation of about $13.5 billion in free cash flow highlights strong financial health and operational efficiency.
3. **Forward-Looking Statements**: These imply strategic planning and anticipation of various market and economic conditions, showcasing the company's preparedness and resilience.
The focus on revenue growth and cash flow reflects strengths in market penetration and financial management.</t>
  </si>
  <si>
    <t>Based on the context provided, the company might articulate its competitive advantages in the report by emphasizing several key areas:
1. **Licensing Success**: Highlighting its ability to consistently obtain necessary licenses may serve as a competitive advantage, as it ensures legal operations and access to markets that competitors might struggle to penetrate.
2. **Strategic Management of Acquisitions and Alliances**: Demonstrating successful management of acquisitions and alliances, including overcoming integration challenges and achieving strategic objectives, can position the company as a leader in market expansion and resource maximization.
3. **Risk Management**: The company may discuss its robust risk management strategies to mitigate fluctuations in financial results and address liabilities and debt levels, showcasing stability and reliability as competitive advantages.
4. **Adaptation to Local Conditions**: Articulating its ability to effectively navigate different local legal, economic, political, health, and other conditions can highlight the company’s agility and deep understanding of diverse markets.
5. **Commitment to Growth and Productivity**: By outlining how it plans to meet or exceed growth and productivity objectives, the company can underscore its focus on continuous improvement and innovation.
6. **Internal Efficiency**: Discussing effective internal processes and strong organizational structure may demonstrate the company’s ability to operate efficiently and respond to challenges more effectively than its competitors.
Overall, the company is likely to highlight these areas to distinguish itself and convey its strengths in maintaining a competitive edge in the market.</t>
  </si>
  <si>
    <t>The company articulates its competitive advantages through several key points:
1. **Portfolio Diversity**: The report highlights the company's diversified portfolio across different sectors, which helps in balancing risks and capitalizing on various market opportunities.
2. **Robust Financial Performance**: It emphasizes strong financial metrics such as revenue growth, profit margins, and cash flow, showcasing operational efficiency and financial stability.
3. **Market Position**: The company discusses its strong market position and reputation, which provide leverage against competitors.
4. **Innovation and R&amp;D**: Commitment to innovation and investment in research and development is stressed as a key driver for future growth and maintaining a competitive edge.
5. **Customer Relationships**: The importance of strong customer relationships is noted, which aids in customer retention and loyalty.
6. **Operational Efficiency**: The report details methods for optimizing operations, reducing costs, and enhancing productivity.
7. **Global Reach**: The company's international presence is mentioned as a significant advantage, allowing it to tap into various markets and reduce dependency on any single market.
These points collectively outline the company's competitive strategy and its strengths in the marketplace.</t>
  </si>
  <si>
    <t>LU3: How does the language used in the management discussion convey the company's outlook for future growth?</t>
  </si>
  <si>
    <t>The language in the management discussion conveys the company's outlook for future growth through several key elements:
1. **Forward-Looking Statements**: The document includes projections and anticipated benefits from a strategic acquisition, which suggests optimism about enhancing future business operations and results.
2. **Strategic Acquisition**: The mention of regulatory approvals, synergies, and transaction impacts indicates a focus on strategic growth and expansion.
3. **Generative AI**: Highlighting the role of generative AI in the book of business points to an emphasis on innovation and adapting to emerging technologies, which is often associated with growth potential.
4. **Non-GAAP Measures**: The focus on non-GAAP measures such as adjusted EBITDA and free cash flow indicates attention to providing a clear picture of operational performance, aligning with strategies for steady financial growth.
5. **Communication and Transparency**: Detailed information in conference calls and press releases shows a commitment to transparency, which supports investor confidence in the company's growth prospects.
Overall, the language reflects a strategic and optimistic outlook towards achieving future growth through innovation, strategic acquisitions, and financial transparency.</t>
  </si>
  <si>
    <t>The language used in the management discussion employs forward-looking statements that project optimism and confidence about the company's future growth. By discussing aspects such as the anticipated benefits of the strategic acquisition, potential synergies, and the positive impact on IBM's business, the communication conveys a positive outlook. Phrases like "anticipated benefits," "impact on IBM’s business," and "future operating results" suggest that the company expects the acquisition to contribute significantly to its growth and enhance its competitive position. Furthermore, the mention of obtaining necessary regulatory approvals and projections regarding the closing date indicates careful planning and preparedness, reinforcing a proactive approach to achieving growth objectives. Overall, the language reflects an expectation of favorable outcomes resulting from the acquisition, signaling confidence in the company's strategic direction and future potential.</t>
  </si>
  <si>
    <t>The language in the management discussion highlights a positive outlook for future growth through several key strategies and areas of focus:
1. **Market Expansion**: There's mention of expanding into new geographical areas and leveraging market opportunities, indicating plans for broadening their market presence.
2. **Product Innovation**: The discussion emphasizes ongoing investment in research and development, suggesting a focus on innovation to drive competitive advantage and growth.
3. **Financial Performance**: References to strong financial metrics and cost management signal confidence in the company’s ability to sustain and improve profitability.
4. **Strategic Partnerships**: The mention of collaborations and strategic alliances indicates plans to enhance capabilities and market reach, which could contribute to growth.
5. **Customer Engagement**: Emphasis on improving customer satisfaction and expanding the customer base suggests a strategy focused on enhancing revenue through better customer relations.
Overall, the language used conveys a proactive and strategic approach to achieving long-term growth and sustaining competitive advantage.</t>
  </si>
  <si>
    <t>L4: How does the company describe its competitive landscape?</t>
  </si>
  <si>
    <t>The document does not explicitly describe the competitive landscape of the company. It primarily outlines financial results, expectations, forward-looking statements, and risks. The risks mentioned (e.g., competition, economic conditions, customer credit risk) indirectly indicate a competitive landscape with challenges such as economic environments, customer spending, innovation, and technology.
For comprehensive insights into the competitive landscape, one would typically need to review management discussions, market analysis sections, or other strategic reports not captured in this specific document.</t>
  </si>
  <si>
    <t>The company describes its competitive landscape in terms of needing to prevent competitive offerings, indicating that it faces competition from other companies providing similar products or services. Additionally, the company mentions challenges such as the failure to obtain necessary licenses, which may impede its ability to compete effectively. This suggests a landscape where obtaining the right licenses and differentiating from competitors are critical to maintaining a competitive edge.</t>
  </si>
  <si>
    <t>The document describes the competitive landscape for the company as highly competitive and fragmented, with competition varying by geography, sales channel, and product category. The primary factors of competition include product design, innovation, quality, pricing, and brand consumer connections. The company acknowledges competition from large, well-established global brands and smaller, more specialized companies that focus on particular markets or product categories. Changes in any of these factors may impact the company's competitive position and market share.</t>
  </si>
  <si>
    <t>Creativity</t>
  </si>
  <si>
    <t>CE1: What innovative strategies would you propose to mitigate the identified risks?</t>
  </si>
  <si>
    <t>To mitigate the identified risks, here are some innovative strategies:
1. **Economic Downturn Preparedness:**
   - Develop flexible budgeting and forecasting models to adapt quickly to economic changes.
   - Increase cash reserves and diversify revenue streams to withstand market fluctuations.
2. **Innovation and IP Protection:**
   - Strengthen R&amp;D with cross-functional teams and open innovation platforms to accelerate new product development.
   - Implement robust IP management systems and engage in strategic partnerships for co-development and joint ventures.
3. **Cybersecurity and Data Privacy:**
   - Utilize AI-driven security tools for real-time threat detection and response.
   - Foster a corporate culture of cybersecurity awareness through regular training and simulations.
4. **Supply Chain and Supplier Relationships:**
   - Enhance supply chain transparency with blockchain technology to improve traceability and reduce risk.
   - Develop a multi-supplier strategy and evaluate suppliers' ESG compliance to build more resilient partnerships.
5. **Climate Change and Environmental Impact:**
   - Set measurable sustainability targets and innovate in eco-friendly product design and manufacturing processes.
   - Implement renewable energy solutions and invest in carbon offset projects.
6. **Regulatory and Legal Compliance:**
   - Use AI to monitor regulatory changes and ensure compliance through real-time updates and automated reporting.
   - Establish a dedicated compliance team to oversee new legislation impacts.
7. **Talent Management and Employee Retention:**
   - Invest in talent development programs and create a strong employer brand to attract and retain top talent.
   - Foster a diverse and inclusive workplace to enhance innovation and employee satisfaction.
8. **Market Liquidity and Credit Risk:**
   - Use financial hedging instruments to manage currency and credit risks.
   - Regularly review and optimize credit policies and lending practices to minimize exposure.
These strategies can help mitigate the specific risks outlined in the statement, ensuring a more resilient and adaptable organization.</t>
  </si>
  <si>
    <t>To mitigate the identified risks, a comprehensive and innovative strategy should be developed, encompassing multiple areas of the business to enhance resilience and adaptability. Here's a detailed plan:
1. **Skill Development and Talent Management:**
   - Implement a continuous learning and development program focusing on critical skills to mitigate reliance on a limited talent pool.
   - Use AI-driven recruitment tools to identify and attract skilled talent quickly.
2. **Supplier Relationship and Diversification:**
   - Develop strong partnerships with multiple suppliers to avoid over-reliance on any single critical supplier.
   - Invest in blockchain technology to increase transparency and trust in supply chain operations.
3. **Product Quality Assurance:**
   - Utilize real-time data analytics and IoT devices for monitoring and improving product quality during manufacturing.
   - Implement machine learning algorithms to predict and preempt quality issues before products reach the market.
4. **Government Contracts and Compliance:**
   - Establish a dedicated task force to ensure compliance with government regulations and anticipate policy shifts.
   - Engage in proactive lobbying and partnerships to understand government needs and priorities, ensuring alignment and minimizing risk.
5. **Distribution Channel Optimization:**
   - Diversify distribution channels by developing direct-to-consumer strategies via digital platforms.
   - Collaborate with ecosystem partners to create a robust distribution network with contingencies in place for unforeseen disruptions.
6. **Cybersecurity and Data Privacy:**
   - Adopt a zero-trust security framework and continuously update IT infrastructure.
   - Incorporate AI and machine learning for real-time threat detection and to automate responses to possible breaches.
7. **Environmental and Climate Resilience:**
   - Invest in sustainable practices and green technologies to reduce the environmental footprint.
   - Develop contingency plans and insurance solutions to safeguard against climate-related disruptions.
8. **Tax and Legal Risk Management:**
   - Utilize predictive analytics to forecast and manage tax liabilities across different jurisdictions.
   - Establish a strong compliance framework and internal audit process to minimize legal risks and enhance governance.
9. **Pension Plan Optimization:**
   - Explore diversified investment strategies for pension funds focusing on low-risk, sustainable growth options.
   - Use financial modeling to predict and mitigate potential pension liabilities.
10. **Currency and Customer Financing:**
    - Employ hedging strategies to protect against currency fluctuations.
    - Develop flexible financing options for customers to maintain sales volume during economic volatility.
11. **Adaptability to Market Changes:**
    - Stay agile by embracing digital transformation and fostering a culture of innovation.
    - Regularly conduct market analysis and scenario planning to swiftly adapt to changes in market conditions.
Implementing these strategies requires a coordinated effort across business units, leveraging technology, fostering a culture of agility and continuous improvement, and maintaining an acute awareness of the external business environment.</t>
  </si>
  <si>
    <t>To propose innovative strategies to mitigate identified risks, I'll need to review the specific risks outlined in the document. However, without the ability to edit or view document content directly, I'll provide general strategies that can be adapted to various risks typically found in business and financial contexts:
1. **Financial Risks**:
   - **Hedging and Diversification**: Use financial instruments like options and futures to hedge against market volatility. Diversify investments to spread risk.
   - **Dynamic Financial Modeling**: Implement real-time data analytics for financial forecasting to quickly adapt to changes.
2. **Operational Risks**:
   - **Process Automation**: Employ AI and machine learning to automate repetitive tasks, reducing human error.
   - **Resilient Supply Chain**: Develop multiple supplier relationships to avoid disruptions and ensure flexibility.
3. **Compliance and Regulatory Risks**:
   - **Proactive Monitoring Systems**: Use AI-driven software to stay ahead of regulatory changes and ensure compliance.
   - **Regular Audits and Training**: Conduct regular compliance audits and provide ongoing employee training.
4. **Strategic Risks**:
   - **Scenario Planning**: Use scenario analysis to anticipate potential future challenges and develop strategic responses.
   - **Agile Management Practices**: Implement agile methodologies to allow quick pivoting in strategic direction.
5. **Technology Risks**:
   - **Cybersecurity Frameworks**: Adopt comprehensive cybersecurity protocols and regular vulnerability assessments.
   - **Innovation Labs**: Create dedicated teams to explore new technologies and their potential impacts on the business.
6. **Reputational Risks**:
   - **Transparent Communication**: Establish clear communication channels for stakeholders to maintain trust.
   - **Brand Monitoring**: Utilize social listening tools to monitor public perception and address issues promptly.
These strategies should be tailored to the specific context and risks identified in your document. If you can provide more details about the risks, I can refine these suggestions further.</t>
  </si>
  <si>
    <t>CE2: What innovative product or service could the company develop to capitalize on current market trends?</t>
  </si>
  <si>
    <t>To capitalize on current market trends, IBM could focus on expanding its offerings in the AI and cloud sectors. Here are a few innovative product or service ideas:
1. **AI-Powered Automation Solutions**: Develop tools that automate complex business processes using AI, enhancing efficiency and reducing operational costs across various industries.
2. **Integrated AI and Cloud Platforms**: Create a seamless platform integrating generative AI capabilities with cloud services to provide end-to-end digital transformation solutions for enterprises.
3. **AI-Driven Cybersecurity**: Offer advanced cybersecurity services using AI to predict and mitigate threats in real-time, catering to the increasing need for robust security solutions.
4. **Industry-Specific AI Applications**: Develop specialized AI applications tailored to industries like healthcare, finance, and manufacturing, addressing specific pain points.
5. **Hybrid Cloud Management Tools**: Provide sophisticated tools for managing hybrid cloud environments, optimizing both public and private cloud resources for enterprises.
By leveraging its strengths in AI and software, IBM can create innovative solutions that align with these growing market demands.</t>
  </si>
  <si>
    <t>To capitalize on current market trends and enhance their portfolio, the company could explore developing a comprehensive AI-driven analytics platform. This platform could leverage machine learning and big data to provide businesses with actionable insights and predictive analytics. The service could include features such as real-time data processing, intelligent automation for decision-making, and customizable dashboards to suit various industry needs.
Given the company's emphasis on software revenue growth, creating such an innovative solution would align well with their strategic goals and position them for sustained growth. This platform could tap into multiple sectors, including finance, healthcare, and retail, where data-driven decision-making is increasingly crucial. By offering this cutting-edge tool, the company can meet the growing demand for advanced analytics capabilities, driving both revenue and customer engagement.</t>
  </si>
  <si>
    <t>To suggest an innovative product or service for CE2 to develop, here are some potential ideas based on widespread market trends:
1. **Sustainable Solutions**: Develop eco-friendly products or services, leveraging sustainable materials or renewable energy sources. This could align with increasing consumer demand for environmentally responsible options.
2. **Digital Transformation**: Invest in AI-driven analytics platforms or cloud services that enhance business operations for clients, capitalize on the shift towards digitalization.
3. **Subscription-Based Models**: Offer subscription services that provide ongoing value, ensuring consistent revenue while adapting to customer needs.
4. **Health and Wellness**: Create products or services focused on wellness, combining technology with personal health management, such as wearable tech or apps for mental well-being.
5. **Remote Work Innovations**: Develop tools or platforms that enhance remote work experiences, focusing on collaboration, security, or productivity.
6. **Personalized Experiences**: Utilize AI and machine learning to deliver highly personalized consumer experiences, whether in retail, media, or services.
To refine these ideas, CE2 should consider their core competencies, market positioning, and the specific industries they serve.</t>
  </si>
  <si>
    <t>CE3: Propose a creative financial strategy that could optimize the company’s capital structure.</t>
  </si>
  <si>
    <t>To optimize the company’s capital structure based on the provided financial summary, a creative financial strategy could involve the following steps:
### 1. **Leverage Optimization:**
   - **Debt Restructuring:**
     - Take advantage of low-interest rates to refinance existing debt, reducing interest expenses.
     - Consider issuing long-term bonds to replace short-term debts, enhancing liquidity.
   - **Leveraged Recapitalization:**
     - Increase leverage slightly to benefit from the tax shield provided by interest payments, given the company's profitability.
### 2. **Equity Management:**
   - **Share Buybacks:**
     - Utilize some of the $13.5 billion projected free cash flow for share buybacks, which could enhance earnings per share and support stock price.
   - **Strategic Issuances:**
     - Issue new shares selectively to finance acquisitions or strategic initiatives, ensuring minimal dilution and alignment with long-term goals.
### 3. **Cash Flow Utilization:**
   - **Investment in Growth Opportunities:**
     - Allocate free cash flow towards high-ROI projects or acquisitions to drive revenue growth, as the company expects at least 5% growth.
   - **Dividend Policy Adjustment:**
     - Consider increasing dividends to attract income-focused investors, but ensure sustainability through cash flow.
### 4. **Cost Management:**
   - **Operational Efficiency:**
     - Invest in technology and innovation to streamline operations and improve gross and net margins.
   - **Risk Management:**
     - Implement hedging strategies to mitigate currency fluctuation risks, preserving profit margins.
### 5. **Strategic Partnerships and Innovation:**
   - **Alliances and Joint Ventures:**
     - Form strategic partnerships to share R&amp;D costs, enter new markets, and drive innovation without significant capital outlay.
   - **Focus on High-Margin Segments:**
     - Prioritize investments in high-margin product lines and services to strengthen profitability.
This strategy aims to balance risk and return, ensuring financial stability while pursuing growth.</t>
  </si>
  <si>
    <t>To optimize the company's capital structure while leveraging its anticipated $13.5 billion in free cash flow for the full year, the company can consider the following creative financial strategy:
1. **Debt Optimization and Refinancing**: 
   - Assess the current debt structure and identify high-interest or short-term debt that could be refinanced at more favorable terms. This could reduce interest expenses and extend maturity dates, enhancing financial flexibility.
2. **Share Buybacks and Dividend Policy**:
   - Utilize a portion of the free cash flow for strategic share buybacks, which could increase earnings per share (EPS) and enhance shareholder value, assuming the market conditions are favorable. Balance buybacks with a sustainable dividend policy to maintain investor confidence and attract income-focused investors.
3. **Strategic Investments and M&amp;A**:
   - Allocate funds for strategic acquisitions or investments in high-growth sectors or technologies that align with the company’s core competencies and future growth strategies. This could potentially increase revenues and market share, while diversifying the company's portfolio and reducing risk.
4. **Hybrid Securities**:
   - Consider issuing hybrid securities such as convertible bonds or preferred shares. These instruments can provide flexible capital with a lower cost of capital than equity, while delaying dilution effects and maintaining a strong equity base.
5. **Strengthening Liquidity Reserves**:
   - Maintain or increase liquidity reserves to provide a buffer against economic uncertainties and to seize potential market opportunities. This ensures operational stability and enhances the company’s credit profile.
6. **Sustainability and ESG Initiatives**:
   - Invest in sustainability and ESG (Environmental, Social, and Governance) initiatives that can yield long-term cost savings and enhance brand reputation. This could also attract ESG-focused investors, potentially widening the investor base.
7. **Dynamic Capital Allocation Framework**:
   - Implement a dynamic capital allocation framework that periodically reassesses capital deployment strategies based on real-time market conditions, competitors’ actions, and changes in the macroeconomic environment. This ensures agility in optimizing capital structure to enhance shareholder value.
This multi-faceted approach aligns with optimizing the company's capital structure while balancing growth, risk, and shareholder returns.</t>
  </si>
  <si>
    <t>To propose a creative financial strategy for optimizing the company's capital structure, let's focus on key elements typically involved in capital optimization. Here are some strategies based on potential details in financial statements:
### 1. Leveraging Optimal Debt Levels
- **Assessment of Cost of Debt:** Calculate the current cost of debt and compare it with the cost of equity. If debt is cheaper, consider increasing leverage within a safe limit.
- **Debt Refinancing:** Refinance existing high-interest debt with lower-interest alternatives. This could involve issuing bonds or securing a syndicated bank loan.
### 2. Equity Optimization
- **Equity Buybacks:** If the company has excess cash and its shares are undervalued, consider a share buyback program to increase share value and improve financial ratios.
- **Strategic Equity Issuance:** If share prices are high and further investment is needed, issuing new equity might be less expensive. Use proceeds for growth initiatives.
### 3. Hybrid Instruments
- **Convertible Bonds:** Issue convertible bonds which offer the benefits of debt while potentially converting into equity, reducing dilution risk and interest costs.
- **Perpetual Bonds:** These can be used as an alternative to equity, having no maturity date, providing tax benefits, and preserving control.
### 4. Asset Optimization
- **Lease vs. Buy Decisions:** Review asset acquisition strategies to determine whether leasing could free up capital and improve asset turnover.
- **Asset Sales and Leaseback:** For non-core assets, consider sale-leaseback arrangements to release capital while retaining operational use.
### 5. Risk Management
- **Hedging Strategies:** Use derivatives to hedge interest rate exposures on existing debt to stabilize cash flows.
- **Currency Management:** For international operations, leverage currency hedging to mitigate FX risks.
### 6. Tax Efficiency
- **Interest Tax Shield Optimization:** Leverage debt interest for tax reductions, ensuring that capital structure is optimized for after-tax debt costs.
- **Utilization of Tax Credits:** If available, use government incentives or tax credits to lower overall tax liabilities.
### 7. Investment in Growth
- **Reinvestment into High ROI Projects:** Focus on reinvesting retained earnings into projects with the highest returns on investment.
- **Mergers and Acquisitions (M&amp;A):** Engage in strategic M&amp;A to improve market position and efficiencies, financed through an optimal mix of debt and equity.
### 8. Continuous Monitoring and Adaptation
- **Regular Review of Capital Structure:** Implement a systematic review process of the capital structure to align with changing market conditions and business strategies.
- **Stakeholder Communication:** Maintain clear communication with stakeholders on capital structure decisions to ensure alignment and support.
By carefully examining financial performance, industry position, and strategic goals, these strategies can be tailored to optimize capital structure effectively, balancing risk, and maximizing shareholder value.</t>
  </si>
  <si>
    <t>CE4: What proposals can be made to improve financial performance?</t>
  </si>
  <si>
    <t>To improve financial performance based on the provided data, consider the following proposals:
1. **Optimize Operating Activities:**
   - Focus on increasing net cash provided by operating activities. This can be achieved by enhancing efficiency, reducing operational costs, and identifying new revenue streams.
2. **Reduce Interest Expenses:**
   - Negotiate better terms with creditors or consider refinancing existing debt at lower interest rates to decrease net interest expenses.
3. **Tax Optimization:**
   - Implement strategies for tax optimization, such as taking advantage of tax credits and incentives to reduce the overall tax burden.
4. **Manage Receivables Efficiently:**
   - Improve the collection process for receivables to decrease the impact on cash flow. Encouraging early payments through discounts might help improve cash positioning.
5. **Balance Asset and Liability Management:**
   - Review and optimize the management of other assets and liabilities to improve liquidity and reduce financial strain from these changes.
6. **Cost Management and Efficiency:**
   - Continue to identify areas for cost reduction without compromising quality or efficiency. Investments in technology and process improvements can reduce costs in the long-term.
7. **Strategic Investment:**
   - Invest in high-return projects and technologies that align with long-term strategic goals to boost future EBITDA.
8. **Monitor and Adapt Strategy:**
   - Regularly review financial strategies and adapt them based on market conditions and financial performance trends to remain flexible and competitive.
Implementing these strategies can potentially enhance the company's financial health and EBITDA performance.</t>
  </si>
  <si>
    <t>To improve financial performance, especially in the context of financing receivables showing fluctuations or declines, consider the following proposals:
1. **Enhance Credit Assessment**: Implement stricter credit evaluation processes to ensure that only creditworthy customers are extended financing, reducing the risk of defaults and improving overall receivables performance.
2. **Optimize Collection Processes**: Streamline and automate collection processes to ensure timely payments. Implement early payment incentives to encourage clients to settle their dues faster.
3. **Diversify Client Base**: Reduce dependency on a few clients by expanding the customer base. This diversification can help stabilize cash flow and reduce risks associated with specific sectors or clients.
4. **Refine Terms of Credit**: Reassess the terms offered to clients, potentially shortening payment periods or adjusting interest rates to better align with market conditions while ensuring competitiveness.
5. **Regular Monitoring and Reporting**: Implement regular monitoring and reporting of financing receivables to quickly identify issues and trends. Utilize data analytics to predict and mitigate potential risks.
6. **Improve Customer Relationship Management**: Strengthen relationships with customers by offering customized solutions and support, which can lead to improved payment behaviors.
7. **Leverage Technology**: Incorporate advanced software solutions for managing receivables which can assist in tracking, optimization, and decision-making processes, making them more efficient and effective.
8. **Explore Financing Options**: Consider different financing structures or partnerships that might support better cash flow management or provide alternative revenue streams during periods of receivables decline.
9. **Risk Management Strategies**: Implement comprehensive risk management strategies to anticipate economic or industry changes that could impact clients’ ability to pay.
10. **Invest in Staff Training**: Equip the finance team with ongoing training in best practices for managing receivables and understanding market trends, to enhance their ability to adapt and perform effectively.
Implementing these proposals can lead to a more robust financial structure, enhancing overall performance and reducing vulnerabilities associated with financing receivables.</t>
  </si>
  <si>
    <t>To improve financial performance based on the content provided, consider the following proposals:
1. **Cost Optimization**:
   - Analyze and reduce operational costs by identifying inefficiencies.
   - Implement energy-saving measures to reduce utility expenses.
   - Negotiate with suppliers for better rates or bulk discounts.
2. **Revenue Enhancement**:
   - Diversify product or service offerings to attract new customer segments.
   - Increase pricing strategically where there’s elasticity.
   - Enhance marketing efforts to boost sales volumes.
3. **Debt Management**:
   - Refinance existing debts to benefit from lower interest rates.
   - Prioritize paying off high-interest debts.
   - Control new debt acquisition and focus on cash flow improvements.
4. **Operational Efficiency**:
   - Invest in technology to streamline operations and reduce labor costs.
   - Train employees to improve productivity and efficiency.
   - Evaluate and adjust inventory levels to reduce holding costs.
5. **Asset Utilization**:
   - Maximize the use of existing assets to generate more revenue.
   - Lease or sell underperforming or non-core assets.
   - Optimize space utilization to minimize overhead.
6. **Investment in Growth**:
   - Allocate resources to high-growth potential sectors or projects.
   - Explore partnerships or mergers that offer strategic benefits.
   - Invest in research and innovation to stay competitive.
7. **Risk Management**:
   - Conduct regular financial audits and risk assessments.
   - Implement a robust risk management framework to mitigate potential losses.
   - Ensure compliance with financial regulations to avoid penalties.
8. **Cash Flow Management**:
   - Enhance accounts receivable processes to improve cash inflows.
   - Negotiate better payment terms with vendors to manage outflows.
   - Maintain adequate liquidity to handle unforeseen expenses.
Implementing these strategies requires careful analysis and tailored approaches depending on the specific context and financial standing of the business.</t>
  </si>
  <si>
    <t>The total revenue for fiscal 2024 was $164.501 billion.</t>
  </si>
  <si>
    <t>The total revenue for fiscal year 2024 was $164.50 billion.</t>
  </si>
  <si>
    <t>The total revenue for fiscal 2024 was \$121,680,000.</t>
  </si>
  <si>
    <t>The reported net income for the twelve months ended December 31, 2024, is $62,360 million.</t>
  </si>
  <si>
    <t>The reported net income is $20,838 for the current period and $14,017 for the comparative period. Additionally, net income for the year-to-date is $62,360 for the current period and $39,098 for the comparative period.</t>
  </si>
  <si>
    <t>The reported net income is $3,411 million for the nine months ended September 30, 2023.</t>
  </si>
  <si>
    <t>The total operating expenses for fiscal 2024 were $95,121 million.</t>
  </si>
  <si>
    <t>The total operating expenses for fiscal year 2024 were $95.12 billion.</t>
  </si>
  <si>
    <t>The total operating expenses for fiscal 2024 were \$3,510 million.</t>
  </si>
  <si>
    <t>The company's cash and cash equivalents balance as of fiscal 2024 was $77.81 billion.</t>
  </si>
  <si>
    <t>The company's cash, cash equivalents, and marketable securities balance as of December 31, 2024, was $77.81 billion.</t>
  </si>
  <si>
    <t>The cash and cash equivalents balance as of fiscal 2024 is $4,786 million.</t>
  </si>
  <si>
    <t>Based on the provided document, the inference about revenue growth over the past three years is that it is expected to continue at a steady pace. The company anticipates first-quarter 2025 total revenue to be between $39.5 and $41.8 billion, reflecting an 8-15% year-over-year growth. The expected year-over-year total revenue growth, on a constant currency basis, is targeted at 11-18%.
The company does not provide a specific full-year 2025 revenue outlook but indicates that the investments in their core business are expected to sustain strong revenue growth throughout 2025. This suggests a positive trend in revenue growth influenced by strategic investments and operational efficiencies.</t>
  </si>
  <si>
    <t>Based on the context provided, it can be inferred that revenue growth has encountered certain challenges, such as headwinds due to current exchange rates and the effect of lapping the leap day in the first quarter of 2024. Despite these challenges, the company expects the investments in its core business to create opportunities for strong revenue growth in 2025. Over the past three years, this suggests a pattern where the company has faced periodic challenges to revenue growth, such as macroeconomic factors or calendar anomalies, but remains optimistic about future prospects due to strategic investments and adaptability to changing conditions.</t>
  </si>
  <si>
    <t>I can't directly read text from images, but if you can provide the revenue data or a summary, I'd be happy to help analyze it and make inferences about revenue growth over the past three years.</t>
  </si>
  <si>
    <t>To analyze the evolution of the company's gross margin and its implications for operational efficiency, we'll look at revenue and costs.
**Calculation of Gross Margin:**
Gross Margin (%) = [(Revenue - Costs) / Revenue] * 100
**For the year 2024:**
- Revenue: $164,501 million
- Costs: $95,121 million
Gross Margin (2024) = [($164,501 - $95,121) / $164,501] * 100 ≈ 42.17%
**For the year 2023:**
- Revenue: $134,902 million
- Costs: $88,151 million
Gross Margin (2023) = [($134,902 - $88,151) / $134,902] * 100 ≈ 34.32%
**Change in Gross Margin:**
2024 Gross Margin: 42.17%
2023 Gross Margin: 34.32%
This suggests an increase in gross margin from 2023 to 2024.
**Implications for Operational Efficiency:**
The increase in gross margin suggests that the company has become more operationally efficient, as it is generating more profit from each dollar of revenue. This efficiency could be due to better cost management, increased pricing power, or enhanced productivity. Overall, it reflects positively on the company's financial health.</t>
  </si>
  <si>
    <t>To evaluate the company's gross margin evolution and its implications on operational efficiency, we look at the information provided for revenue, costs and expenses, and income from operations.
1. **Revenue Increase**: 
   - Compared to the previous period, revenue increased by 21% in one segment and by 22% in the full period comparison ($48,385 to $40,111 and $164,501 to $134,902, respectively).
2. **Cost and Expenses Increase**: 
   - Costs and expenses increased by a smaller margin of 5% in one segment and 8% in the full period comparison ($25,020 to $23,727 and $95,121 to $88,151, respectively).
3. **Income from Operations**:
   - The income from operations rose significantly by 43% and 48% in the two periods compared ($23,365 to $16,384 and $69,380 to $46,751, respectively).
4. **Operating Margin Evolution**:
   - Operating margin improved from 41% to 48% in one segment and from 35% to 42% in the full period.
**Analysis of Gross Margin and Operational Efficiency**:
- **Improvement in Gross Margin**: The data implies that the company's gross margin has improved since operating income has grown at a substantially higher rate than costs and expenses. This is further evidenced by the substantial increase in operating margins for both periods.
- **Operational Efficiency**: The increase in operating margins (from 41% to 48% and 35% to 42%) suggests enhanced operational efficiency. The company is generating more income per dollar of revenue, indicating it is managing its costs and expenses effectively while boosting revenue. 
In summary, the company's gross margin and operating margins have improved significantly, which points to increased operational efficiency. This means that the company is successfully controlling costs and possibly optimizing its operations to generate higher earnings from its revenue growth.</t>
  </si>
  <si>
    <t>To assess the evolution of the company's gross margin and what it suggests about operational efficiency, we need to analyze the provided financial statements, focusing on the gross margin figures over the specified periods.
### Analysis:
1. **Gross Margin Calculation**:
   - Gross Margin = (Revenue - Cost of Goods Sold) / Revenue
2. **Observation on Gross Margin**:
   - Look at the gross margin percentage for the different periods reported in the financial data.
   - Compare these percentages to see if there is an improvement, decline, or consistency over time.
3. **Interpretation**:
   - **Increase in Gross Margin**: Suggests improved operational efficiency, possibly due to better cost management, economies of scale, or successful pricing strategies.
   - **Decrease in Gross Margin**: May indicate rising costs not matched by revenue growth, inefficiencies, or pricing pressures.
   - **Stable Gross Margin**: Consistency suggests a steady state of operational efficiency, but external factors may need to be considered for deeper insights.
### Conclusion:
- Examine factors affecting any significant changes in gross margin, such as cost control measures, changes in pricing strategy, supply chain efficiency, or market dynamics.
- Use the trend in gross margin as a key indicator of the company’s ability to manage production costs relative to sales revenue.
Given the specific numbers from the document, you can perform these calculations and interpretations to determine how the company’s gross margin reflects its operational efficiency.</t>
  </si>
  <si>
    <t>Based on the data provided, here is an analysis of the correlation between R&amp;D investment and revenue growth for the company:
### Key Observations:
1. **Revenue Growth:**
   - Revenue increased from $134,902 million in 2023 to $164,501 million in 2024.
2. **R&amp;D Investment:**
   - R&amp;D spending grew from $38,483 million in 2023 to $43,873 million in 2024.
### Correlation Analysis:
- **Positive Correlation:** There appears to be a positive correlation between R&amp;D investment and revenue growth. As R&amp;D investments increased, so did the revenue.
### Conclusion:
- **Investment Impact:** The data suggests that increased R&amp;D investment is associated with increased revenue, indicating that such investments may be contributing to the company’s growth, potentially through innovation, improved products, or enhanced services.
This correlation does not confirm causation but suggests a trend where R&amp;D investments may benefit revenue.</t>
  </si>
  <si>
    <t>To analyze the correlation between the company's investment in research and development (R&amp;D) and its revenue growth, we can look at the data provided:
- Revenue figures show growth from $134,902 to $164,501 and from $40,111 to $48,385.
- R&amp;D expenses went from $38,483 to $43,873 and from $10,517 to $12,180.
Here’s how we can interpret this:
1. **Revenue Growth**: The revenue figures indicate significant growth in both cases ($134,902 to $164,501 and $40,111 to $48,385), showing an increase in the company's earnings over time.
2. **Investment in R&amp;D**: Similarly, there is an increase in R&amp;D expenses from $38,483 to $43,873 and from $10,517 to $12,180, indicating that the company is investing more in R&amp;D over these periods.
3. **Correlation Analysis**:
   - There is a positive correlation between increased R&amp;D investment and revenue growth. As the company spends more on R&amp;D, the revenue also shows an upward trend.
   - This suggests that the company’s strategy to invest in research and development may be contributing to its ability to generate more revenue. This could be due to innovations, product improvements, or gaining competitive advantages which enhance sales.
In summary, based on the historical data provided, as the company increased its investment in R&amp;D, its revenue also grew, indicating a positive correlation between the two. This suggests that maintaining or increasing R&amp;D investments could be a key factor in sustaining or boosting revenue growth.</t>
  </si>
  <si>
    <t>To determine how the company's investment in R&amp;D correlates with its revenue growth, we need to analyze the changes in R&amp;D investment and revenue over the specified periods.
Based on the data provided:
1. **R&amp;D Investment Trends**:
   - In 2022, R&amp;D investment was $27.676 billion, with a 12% increase compared to the previous year.
   - In 2021, the R&amp;D investment was $24.575 billion, showing a 21% increase from 2020.
   - In 2020, the R&amp;D investment was $20.084 billion, with a 14% increase from 2019.
2. **Revenue Trends**:
   - In 2022, revenue was $82.552 billion, with a 9% increase compared to the previous year.
   - In 2021, revenue was $75.450 billion, showing a 21% increase from 2020.
   - In 2020, the revenue was $62.210 billion, with a 5% increase from 2019.
**Correlation Analysis**:
- Both R&amp;D investment and revenue have grown over the years, with notable increases in 2021 for both metrics, suggesting a strong correlation.
- In 2021, both R&amp;D and revenue experienced a high growth rate of 21%, indicating that increased investment in R&amp;D might have contributed to significant revenue growth.
- In other years, R&amp;D growth outpaced revenue growth, implying a potential longer-term impact of R&amp;D on revenue generation.
Overall, the data suggests a positive correlation between R&amp;D investment and revenue growth, with R&amp;D potentially driving future revenue increases.</t>
  </si>
  <si>
    <t>Based on the CFO outlook commentary for 2025, the following potential challenges for future profitability can be inferred:
1. **Rising Expenses**: 
   - The full-year expenses are expected to be between $114-119 billion, driven by higher operating expenses, depreciation, and infrastructure costs. This could compress profit margins if revenue growth does not keep pace.
2. **Increased Investment**:
   - Significant capital expenditures ($60-65 billion) are planned to support AI and core business efforts. While these investments aim for future growth, they may temporarily impact free cash flow and net income.
3. **Employee Compensation**:
   - Compensation is expected to be a substantial cost due to hiring in technology and compliance areas, adding pressure on margins.
4. **Regulatory Landscape**:
   - Legal and regulatory challenges in the EU and the US could lead to increased compliance costs or restrictions affecting operations and profitability.
5. **Tax Rate Variability**:
   - An anticipated tax rate of 12-15% introduces uncertainty in net income, dependent on potential tax law changes.
6. **Currency Fluctuations**:
   - Assumptions based on currency exchange rates indicate exposure to forex risks, which can unpredictably affect revenue and earnings.
Given these factors, careful management of operating costs, strategic investments, and regulatory compliance will be essential to maintain profitability amidst these challenges.</t>
  </si>
  <si>
    <t>Based on the provided context, potential challenges to the company's future profitability can include:
1. **Tax Rate Increases**: The expected tax rate for the year 2025 is projected to be between 12-15%. Any changes in the tax landscape, such as increased tax rates or introduction of new taxes, could pressure the company's profitability by reducing net income.
2. **Regulatory Challenges**: The company is facing regulatory headwinds in both the EU and the U.S. Changes in regulations or new legal requirements could lead to increased compliance costs or operational restrictions, impacting profitability.
3. **Volatility in Gross Profit Margin**: If trends suggest declining gross profit margins, this could indicate rising costs of goods sold or difficulties in maintaining pricing power. This would directly affect the bottom line, squeezing profitability.
4. **Net Income Fluctuations**: Any decline or stagnation in net income trends could be indicative of challenges in maintaining overall revenue growth or managing costs effectively, threatening long-term profitability.
5. **Market Conditions**: Broader economic conditions, market competition, or shifts in consumer behavior could also unexpectedly influence both revenue generation and cost management efforts, complicating efforts to maintain profitability.
The combination of these factors indicates that while the company is aware of potential difficulties, external factors out of their control, particularly in the form of regulatory and tax changes, could pose significant challenges to maintaining or improving future profitability.</t>
  </si>
  <si>
    <t>To infer potential challenges for the company's future profitability from the trends in gross profit margin and net income, we can consider several factors:
1. **Declining Gross Profit Margin**:
   - If the gross profit margin is decreasing, this suggests that the company's cost of goods sold (COGS) is rising faster than its sales revenue. This could be due to increased costs for raw materials, labor, or overheads.
   - A declining gross profit margin can pressure the company to either increase prices (which may affect demand) or find ways to reduce costs.
2. **Fluctuating or Declining Net Income**:
   - If net income is fluctuating or declining, it may indicate increased operational expenses, interest expenses, or other financial anomalies.
   - Declines in net income can impact the company's ability to reinvest in growth opportunities, pay dividends, or reduce debt.
3. **Competitive Pressures**:
   - Pricing pressures from competitors can affect both gross margins and net income, forcing the company to either reduce prices or lose market share.
4. **Operational Efficiency**:
   - Increases in operational costs reflected in reduced net income margins may require the company to improve efficiency and reduce costs elsewhere.
5. **Market Demand**:
   - Changes in consumer preferences or reduced demand in the industry can affect sales volume, impacting both gross profit margin and net income.
6. **External Economic Factors**:
   - Inflation, supply chain disruptions, and economic downturns can increase costs and reduce consumer spending, thereby impacting both margins and overall profitability.
7. **Strategic Investments**:
   - If the company is investing heavily in new projects or technology, short-term declines in net income may occur, with potential long-term benefits if these investments pay off.
To address these challenges, the company might need to focus on cost management, pricing strategies, operational efficiencies, and possibly diversification of products or markets.</t>
  </si>
  <si>
    <t>The key risks mentioned in the report are:
1. Macroeconomic conditions on business and financial results.
2. Ability to retain or increase users and engagement levels.
3. Reliance on advertising revenue.
4. Dependency on data signals and mobile operating systems, networks, and standards.
5. Changes in content or application of third-party policies affecting advertising practices.
6. New products or changes to existing products.
7. Business initiatives including artificial intelligence and metaverse efforts.
8. Community growth and user experience.
9. Short-term financial results.
10. Brand and reputation maintenance and enhancement.
11. Privacy, safety, security, and content and advertising review and enforcement.
12. Government actions restricting access to products or impacting revenue.
13. Litigation and government inquiries.
14. Regulatory concerns and developments.
15. Acquisitions risks; security breaches.
16. Ability to manage scale and geographically dispersed operations.
17. Other factors affecting financial performance.</t>
  </si>
  <si>
    <t>The key risks mentioned in the report include:
1. Government actions that could restrict access to products or impair the ability to sell advertising in certain countries.
2. Litigation and government inquiries.
3. Privacy, legislative, and regulatory concerns or developments.
4. Risks associated with acquisitions.
5. Security breaches.
6. The ability to manage scale and geographically-dispersed operations.
7. Market conditions or other factors affecting the payment of dividends.</t>
  </si>
  <si>
    <t>The key risks mentioned in the report include:
1. **Interest Rate Risk**: Involves changes in interest rates affecting the fair value of financial instruments and future cash flows.
2. **Foreign Currency Risk**: Arises from fluctuations in foreign exchange rates impacting the company's financial position.
3. **Credit Risk**: Related to the possibility of counterparty default, impacting receivables and financial assets.
4. **Liquidity Risk**: Pertains to the organization's ability to meet its financial obligations and manage cash flow requirements.
5. **Market Risk**: Involves the effect of market price changes, affecting the value of investment portfolios.
These risks have the potential to significantly impact the company's financial performance and must be managed carefully.</t>
  </si>
  <si>
    <t>The company articulates its competitive advantages in the report by highlighting its use of non-GAAP financial measures. These measures provide additional insight into the financial performance beyond standard GAAP metrics. Here's how they frame their competitive advantages:
1. **Enhanced Financial Insight**: By using non-GAAP measures, the company offers deeper insights into its business performance. This allows for better comparison of financial results across periods, independent of certain variable factors.
2. **Foreign Exchange Adjustments**: They account for foreign exchange effects, which helps in making valid comparisons to historical performance, especially in global transactions.
3. **Focus on Cash Flow**: Adjustments related to property and equipment purchases, as well as finance lease payments, help represent accurate cash flow for discretionary expenditures. This supports transparent evaluation of operational efficiency.
4. **Supplementary Analysis**: The report emphasizes that these non-GAAP measures complement the GAAP figures by providing further context, aiding in assessing key business metrics.
These approaches are intended to enhance transparency and offer a clearer picture of the company’s operational and financial dynamics, which in turn are integral to maintaining a competitive edge.</t>
  </si>
  <si>
    <t>Based on the context provided, the company articulates its competitive advantages in several ways. Firstly, it emphasizes community growth and engagement, suggesting a focus on building a strong, loyal user base and enhancing user experience over pursuing short-term financial gains. This indicates a long-term strategic approach aimed at sustaining user interest and satisfaction. 
Secondly, the company's emphasis on maintaining and enhancing its brand and reputation suggests a commitment to building trust and credibility with its stakeholders, which can serve as a substantial competitive advantage. 
Thirdly, ongoing efforts in privacy, safety, security, and content and advertising review, as well as enforcement, underline the company’s dedication to providing a secure and reliable platform, which is increasingly important to users and can differentiate it from competitors.
Additionally, the mention of new business initiatives, particularly in artificial intelligence and the metaverse, indicates an effort to innovate and expand into emerging technologies, potentially opening up new revenue streams and keeping the company at the forefront of technological advancement.
These strategies, collectively, highlight the company's focus on sustainable growth, innovation, trustworthiness, and a robust user community as key competitive advantages.</t>
  </si>
  <si>
    <t>The company articulates its competitive advantages in the report through several key points:
1. **Global Presence**: The report highlights the company's operations in multiple countries, indicating a broad market reach and ability to leverage international opportunities.
2. **Diverse Product Portfolio**: The company emphasizes the diversity of its product offerings, which allows them to meet various customer needs and adapt to changing market demands.
3. **Innovation and Research**: There is a focus on investment in research and innovation, which helps the company stay ahead in developing new technologies and products.
4. **Strong Financial Performance**: The company presents solid financial data, showcasing profitability, revenue growth, and efficient cost management as indicators of financial health and stability.
5. **Strategic Partnerships**: The report mentions collaborations and partnerships that enhance the company’s capabilities and expand its market potential.
6. **Sustainability Efforts**: Emphasis on sustainability and corporate responsibility reflects the company’s dedication to ethical practices, which can appeal to environmentally-conscious consumers and investors.
These elements combined convey the company’s strengths and unique position in the competitive landscape.</t>
  </si>
  <si>
    <t>The language used in the management discussion about the company's outlook for future growth reflects a cautious optimism. The section on "Forward-Looking Statements" highlights uncertainties and risks, such as economic conditions, competition, and regulatory concerns, indicating the company's awareness of potential challenges. However, by mentioning efforts to maintain and enhance brand reputation, and ongoing initiatives including artificial intelligence, the company signals confidence in its strategic plans for growth and adaptability.
The use of non-GAAP financial measures is also indicative of the company's focus on transparency and providing a clear picture of its operational health. By detailing adjustments for foreign exchange effects and capital expenditures, the company seeks to reassure investors about its financial stability and future prospects.
Overall, the language conveys a balanced perspective, acknowledging risks and uncertainties while emphasizing strategic initiatives and financial metrics aimed at sustaining and driving growth.</t>
  </si>
  <si>
    <t>The language used in the management discussion likely conveys the company's outlook for future growth by expressing optimism and confidence, while also acknowledging potential risks and uncertainties. Forward-looking statements typically include phrases that suggest positive expectations, such as "anticipate," "expect," "intend," "plan," or "believe." These statements are meant to project growth and success, illustrating management's strategies and goals for the company. However, the inclusion of cautionary notes about factors that could materially affect actual results—such as macroeconomic conditions, geopolitical events, user engagement levels, and reliance on advertising revenue—indicates a balanced approach, showing that the company is aware of the challenges it might face. This blend of optimism with caution reflects a realistic and prepared outlook for future growth.</t>
  </si>
  <si>
    <t>The management discussion highlights a positive outlook for future growth, using strategic language to convey optimism and confidence. Key phrases emphasize expansion, innovation, and market leadership. The company references strong financial performance and strategic initiatives expected to drive growth. Additionally, the discussion might outline specific opportunities and investments in technology or new markets, reinforcing a commitment to long-term development and value creation. This optimistic tone suggests a favorable view of the company’s future prospects.</t>
  </si>
  <si>
    <t>The company mentions potential factors affecting its competitive landscape, including risks associated with:
- Government actions that could limit access to products or impact abilities to sell or advertise.
- Anti-competitive stances by governing bodies or competitive pressures.
- Privacy, legislative, and regulatory concerns which could impact operations.
These factors are part of the broader uncertainties that might influence the company's performance. For detailed discussion, they refer to their filings with the SEC under "Risk Factors."</t>
  </si>
  <si>
    <t>Based on the context provided, the company describes its competitive landscape by acknowledging the various risks associated with government actions, litigation, privacy issues, acquisitions, security concerns, operational management, and market conditions. These factors suggest that the company operates in a complex and dynamic environment where it must navigate regulatory challenges, maintain security, manage growth, and adapt to changing market conditions, all of which can influence its competitive position.</t>
  </si>
  <si>
    <t>The company describes its competitive landscape by highlighting the following key points:
- They operate in a highly competitive environment, facing competition from both established players and newer entrants.
- The competition is based on factors such as pricing, product quality, technology, brand reputation, and customer service.
- They see innovation and adaptation as crucial to maintaining and enhancing their market position.
- The company mentions the need to anticipate consumer trends and adapt accordingly to stay competitive.
- They also emphasize the importance of strategic partnerships and acquisitions as part of their competitive strategy.
Challenges in maintaining a competitive edge in such a dynamic market are also acknowledged.</t>
  </si>
  <si>
    <t>To propose innovative strategies for mitigating the identified risks, let's focus on the key areas highlighted in the document:
1. **Macroeconomic Conditions:**
   - **Diversification Strategy:** Expand into new markets or sectors less affected by economic fluctuations. This can include geographic diversification.
   - **Dynamic Pricing Models:** Implement AI-driven pricing strategies to quickly adapt to changing economic conditions.
2. **Engagement Levels:**
   - **Personalization and AI:** Use machine learning to tailor user experiences and enhance engagement based on individual preferences and behaviors.
   - **Community Building:** Foster user communities around products or services to increase interaction and engagement.
3. **Advertising Revenue:**
   - **Innovative Ad Formats:** Develop interactive and augmented reality advertisements to captivate audiences and provide higher value to advertisers.
   - **Subscription Models:** Explore alternative revenue streams such as premium subscription services to reduce reliance on ad revenues.
4. **Regulatory Concerns and Government Restrictions:**
   - **Proactive Compliance:** Implement advanced compliance management systems using real-time monitoring to stay ahead of regulatory changes.
   - **Stakeholder Engagement:** Enhance dialogue with regulators and policymakers to influence and adapt to regulatory shifts effectively.
5. **Security and Privacy:**
   - **Continuous Security Upgrades:** Regularly update security measures using the latest in cybersecurity technology.
   - **Data Privacy Enhancements:** Adopt privacy-by-design principles and transparency initiatives to build trust with users.
6. **Acquisitions and Scaling:**
   - **Due Diligence Innovation:** Use AI for enhanced due diligence processes to better assess the risks and opportunities in potential acquisitions.
   - **Scalable Infrastructure:** Invest in cloud-based and modular technology structures to support rapid scaling efficiently and cost-effectively.
7. **Maintaining Brand and Reputation:**
   - **Social Responsibility Initiatives:** Engage in CSR activities that resonate with core values and enhance brand perception.
   - **Crisis Management Plans:** Develop comprehensive crisis management strategies to quickly address and mitigate PR issues.
Deploying these strategies involves leveraging cutting-edge technology, fostering innovation, and maintaining flexibility to adapt to new challenges, thereby effectively mitigating potential risks highlighted.</t>
  </si>
  <si>
    <t>To mitigate the identified risks, the following innovative strategies could be proposed:
1. **Diversification of Product and Service Offerings**: Expanding beyond core offerings into areas such as artificial intelligence and the metaverse can help to reduce reliance on existing revenue streams and open up new opportunities for growth. This approach can also help mitigate the impact of competition and regulatory changes.
2. **Enhanced Data Privacy and Security Measures**: Developing advanced privacy and security technologies, such as zero-trust architecture and differential privacy models, can help build trust with users and safeguard against data breaches. Regular audits and compliance checks can ensure adherence to legal and ethical standards.
3. **Strategic Partnerships and Alliances**: Collaborating with other companies, especially those specializing in complementary technologies, can enhance capabilities and share risks. Partnerships with local entities in foreign markets can help navigate government regulations and cultural differences.
4. **Regulatory Engagement and Advocacy**: Proactively engaging with policymakers to shape future regulations can help avoid restrictive measures. Being transparent about data usage and privacy practices can also alleviate governmental concerns.
5. **User-Centric Design and Policy Implementation**: Prioritizing community growth and a positive user experience can drive engagement and loyalty. Implementing user feedback loops and agile development processes will ensure offerings remain relevant and valuable to users.
6. **Agile Business Models and Continuous Innovation**: Adopting agile frameworks allows for rapid iteration and adaptation to market changes. Continuous research and investment in emerging technologies will maintain competitiveness and innovation leadership.
7. **Crisis Management and Contingency Planning**: Developing comprehensive crisis management plans, including scenarios for regulatory changes and data breaches, ensures rapid and effective responses to unforeseen events.
8. **Brand and Reputation Management**: Consistent communication and transparency with users, particularly in addressing issues and being accountable, will help maintain and enhance brand reputation.
By implementing these strategies, the company can better navigate the complex landscape of technological, regulatory, and competitive risks.</t>
  </si>
  <si>
    <t>To propose innovative strategies for mitigating identified risks, we need to analyze key areas of concern from the document. However, since I can’t view specific details in this image, I'll suggest a general approach for risk mitigation using innovative strategies across common risk categories:
### Financial Risks
1. **Blockchain for Transparency**: Implement blockchain for transparent financial transactions and audits to reduce fraud risk.
2. **AI-Powered Risk Analytics**: Utilize AI to predict financial risks by analyzing market trends and internal data.
### Operational Risks
1. **Robotic Process Automation (RPA)**: Automate repetitive tasks to reduce human error and increase efficiency.
2. **IoT for Predictive Maintenance**: Use IoT devices to monitor equipment and predict failures before they occur.
### Strategic Risks
1. **Scenario Planning with AI**: Use AI to simulate various market scenarios and prepare strategies for each potential outcome.
2. **Crowdsourced Innovation**: Engage employees and customers in generating innovative solutions via platforms that encourage idea sharing.
### Regulatory Risks
1. **RegTech Solutions**: Implement systems that automatically update compliance protocols based on the latest regulations.
2. **Real-Time Audit Systems**: Use technology for continuous monitoring and real-time auditing to ensure compliance.
### Environmental Risks
1. **Green Supply Chain**: Invest in sustainable suppliers and integrate eco-friendly practices within operations.
2. **Energy Management Systems**: Use smart grids and renewable resources to optimize and reduce energy consumption.
### Cybersecurity Risks
1. **Zero Trust Architecture**: Adopt a zero trust model ensuring strict authentication and least privilege access.
2. **Behavioral Analytics**: Implement systems that detect anomalies in user behavior to identify potential breaches early.
These strategies can be tailored to fit specific risks as identified in your detailed document. Consider integrating these with existing processes and continuously monitoring results for effectiveness.</t>
  </si>
  <si>
    <t>Based on the information in the document, the company should consider developing an innovative product or service that capitalizes on the following market trends:
1. **Artificial Intelligence and Machine Learning**: Leverage AI to enhance ad targeting and user engagement metrics. Introducing AI-driven analytics tools for advertisers could optimize ad spend and improve ROI.
2. **Data Privacy and Security Solutions**: Develop robust security features that address privacy concerns, thereby building trust and compliance with regulatory standards.
3. **Community Growth Tools**: Create platforms or apps that enhance user experience by fostering community engagement. This could include new social features or interactive content.
4. **Sustainability Initiatives**: Launch eco-friendly initiatives or tools that appeal to environmentally conscious consumers, aligning with growing emphasis on sustainability.
5. **Geographic Expansion**: Tailor services for new markets by understanding local regulatory environments and cultural preferences, facilitating geographic growth.
These strategies align with current challenges and opportunities discussed, such as privacy, regulatory concerns, and technological advancements.</t>
  </si>
  <si>
    <t>To capitalize on current market trends, the company could develop an innovative product or service that integrates artificial intelligence with the metaverse. One potential idea is to create a virtual reality platform powered by AI that enhances user experience by providing personalized content and interactions. This platform could offer immersive social experiences, digital events, or even virtual shopping environments where AI-driven avatars serve as personal guides or assistants, enhancing community engagement and user experience. Additionally, incorporating AI could enhance security and privacy features, providing a safer environment for users which aligns with the company's emphasis on these factors. This approach would allow the company to leverage its strengths in AI and the metaverse while staying ahead of the competition and maintaining brand reputation.</t>
  </si>
  <si>
    <t>To recommend an innovative product or service, I would need to analyze current market trends and match them with the company's strengths as outlined in the document. Unfortunately, since I can't see the entire content of the document, I'll focus on some general innovative ideas based on usual market trends:
1. **Renewable Energy Solutions**: If the company is involved in energy or technology, developing affordable and efficient renewable energy products, like solar panels or wind energy solutions, could capitalize on the growing sustainability movement.
2. **Smart Home Devices**: With the rise of IoT, developing smart appliances or security systems integrated with AI could tap into the smart home trend.
3. **Telehealth Services**: For a company in healthcare or technology, creating a user-friendly telehealth platform with advanced diagnostic tools could meet the increasing demand for remote health services.
4. **Sustainable Products**: Leveraging eco-friendly materials and processes for new products can attract consumers interested in sustainability.
5. **Customized Consumer Experiences**: Developing AI-driven platforms that offer personalized shopping experiences could engage modern consumers.
6. **Digital Financial Services**: With fintech on the rise, creating innovative digital banking or investment tools powered by AI could capture the interest of tech-savvy individuals.
By matching these trends with the company's capabilities as described in the document, you can identify the most feasible and effective path forward.</t>
  </si>
  <si>
    <t>To optimize the company’s capital structure, a creative financial strategy could include the following elements:
### 1. **Hybrid Financing Instruments**
   - **Convertible Bonds**: Issue convertible bonds to maintain lower interest rates while providing upside potential to bondholders if they convert to equity when the company's stock price appreciates.
   - **Preferred Equity with Variable Dividends**: Introduce preferred shares that offer dividends based on performance metrics, aligning the interests of the company and investors.
### 2. **Leverage Non-GAAP Metrics**
   - **Using Non-GAAP Adjustments for Internal Financing**: Leverage the adjustments already made for foreign exchange effects and capital expenditures to negotiate better borrowing terms with lenders by showcasing a more stable cash flow profile.
   - **Strategic Communication**: Clearly communicate non-GAAP financial health to potential investors, emphasizing operational efficiency and growth potential.
### 3. **Strategic Asset Sales and Leasebacks**
   - **Sale-Leaseback Transactions**: Identify non-core assets and execute sale-leaseback transactions to free up capital for investment in higher-yield areas while maintaining operational control over critical assets.
### 4. **Equity Crowdfunding for Targeted Projects**
   - **Project-Based Equity Crowdfunding**: Use crowdfunding to raise equity for specific projects, tapping into a broader investor base and reducing reliance on traditional debt and equity markets.
### 5. **Dynamic Dividend Policy**
   - **Performance-Linked Dividends**: Implement a flexible dividend policy where payouts are linked to performance metrics like cash flow and profitability, thus preserving cash in lower-performing periods.
### 6. **Debt Optimization**
   - **Interest Rate Swaps**: Use derivative contracts to swap variable-rate debt for fixed-rate debt to manage interest expense predictability.
   - **Debt Consolidation**: Refinance existing high-interest debt into instruments with longer maturities or lower rates to reduce ongoing financial burden.
### 7. **Strategic Alliances and Joint Ventures**
   - **Co-investing with Partners**: Form strategic alliances and joint ventures for capital-intensive projects, sharing the financial burden and risk.
### 8. **Employee Stock Ownership Plans (ESOPs)**
   - **Implement ESOPs**: Enhance employee motivation and reduce external financing needs by offering employees stock options as part of their compensation.
Overall, this strategy should align with long-term business objectives, maintain financial flexibility, and leverage existing strengths as highlighted in the non-GAAP measures to enhance value for both shareholders and stakeholders.</t>
  </si>
  <si>
    <t>Proposing a creative financial strategy to optimize a company's capital structure should focus on balancing debt and equity to minimize the cost of capital while maximizing shareholder value. Here's a proposed strategy:
1. **Hybrid Financing Instruments**: Utilize hybrid financial instruments like convertible bonds or preferred shares, which can offer the benefits of both debt and equity. Convertible bonds start as debt, often with lower interest rates, and can convert into equity under pre-agreed conditions, minimizing dilution and potentially reducing interest expenses over time.
2. **Leverage Strategic Asset Sales and Leasebacks**: Identify non-core assets that can be sold and leased back. This can free up capital while keeping the necessary assets operational within the business, improving cash flow without the need for new equity or traditional debt.
3. **Optimize Debt Portfolio**: Refinance existing high-interest debt with lower-cost debt by taking advantage of favorable market conditions or improving the company's credit rating. Structured approaches such as issuing secured debt or using interest rate swaps can further reduce costs.
4. **Dynamic Dividend Policy**: Implement a flexible dividend policy that considers the company’s cash flow situation and market conditions. Utilizing stock dividends or scrip dividends in lieu of cash can conserve cash reserves during capital-intensive periods.
5. **Implement a Share Repurchase Program**: Deploy a strategic share repurchase program funded by excess free cash flow to reduce equity, improve return metrics, and return value to shareholders without a long-term cash commitment as with dividends.
6. **Strategic Partnerships and Joint Ventures**: Secure funding through partnerships and joint ventures, spreading the financial risk while leveraging external expertise and resources, which may provide growth opportunities without equity dilution.
7. **Balanced Growth through Organic and Inorganic Expansion**: Carefully balance organic growth investments with strategic M&amp;A activity to ensure consistent cash flow generation and sustainable growth, optimizing the capital structure through targeted actions.
Each of these strategies can be adapted based on the company’s specific industry dynamics, financial health, and long-term goals. Regular review and adjustment of these practices will be essential to maintaining an optimal capital structure.</t>
  </si>
  <si>
    <t>To propose a creative financial strategy for optimizing the company's capital structure, we need to consider several factors, including debt-to-equity ratio, interest rates, and growth potential. Based on the data provided, here are some strategies:
1. **Debt Refinancing:**
   - Refinance existing high-interest debt with lower-interest options. Look for opportunities in the current market with favorable interest rates to reduce interest payments and improve cash flow.
2. **Issuing Convertible Debt:**
   - Issue convertible bonds as a way to raise capital. This can attract investors looking for fixed income with equity upside, potentially reducing the immediate debt burden and offering conversion to equity when the company stock appreciates.
3. **Strategic Equity Issuance:**
   - Consider issuing equity to strengthen the balance sheet if the market conditions are favorable. This can be done via public offerings or private placements to avoid excessive dilution of existing shares.
4. **Securitization of Assets:**
   - Create asset-backed securities to leverage the company’s stable cash-generating assets. This can be a viable way to access capital without increasing traditional debt levels.
5. **Use of Derivatives:**
   - Utilize interest rate swaps to manage exposure to variable interest rates, reducing the risk associated with floating-rate debt.
6. **Improving Operational Efficiency:**
   - Enhance operational efficiencies and reduce costs to improve the EBIT, thereby enhancing the interest coverage ratio. This can support higher debt levels if needed.
7. **Joint Ventures or Strategic Partnerships:**
   - Engage in partnerships to share capital expenditures and operational costs. This can reduce capital requirements while expanding market reach or capabilities.
8. **Focus on Free Cash Flow Generation:**
   - Prioritize projects and initiatives that enhance free cash flow, allowing more flexibility in financing decisions and reducing dependence on external funding.
9. **Capital Reinvestment Strategy:**
   - Reinvest retained earnings into high-return projects to fuel growth without additional debt or equity issuance, optimizing the use of internally generated capital.
Implementing these strategies should be aligned with the company’s long-term vision and risk appetite, ensuring that adjustments to the capital structure support sustainable growth and value creation.</t>
  </si>
  <si>
    <t>To improve financial performance based on the information provided, consider the following proposals:
1. **Diversifying Revenue Streams**:
   - Focus on expanding into new markets or introducing new products to reduce reliance on existing sources of revenue.
   - Innovate within the current product line to appeal to a broader audience.
2. **Cost Management and Efficiency**:
   - Implement cost-cutting measures in manufacturing and distribution without compromising quality.
   - Streamline operations to increase productivity.
3. **Enhanced Data Utilization**:
   - Leverage artificial intelligence and data analytics to optimize business processes and customer targeting.
   - Use insights from data to make informed decisions on marketing and inventory management.
4. **Advertising and Marketing Optimization**:
   - Evaluate and possibly renegotiate advertising contracts for better rates or outcomes.
   - Focus on digital marketing strategies that provide higher engagement and measurable return on investment.
5. **Risk Management Improvements**:
   - Develop strategies to mitigate risks associated with external factors like government actions, competition, and market changes.
   - Establish a robust cybersecurity framework to prevent data breaches.
6. **Operational Expansion and Scale**:
   - Scale operations strategically to maximize geographic reach and reduce costs per unit.
   - Invest in technology that allows for scalability without substantial cost increments.
7. **Financial Monitoring and Adjustments**:
   - Regularly review financial metrics and adjust strategies as needed to enhance transparency and predictability.
   - Use non-GAAP measures consciously to provide a clearer picture of financial health to stakeholders.
8. **Capital Management**:
   - Consider debt restructuring or refinancing options to improve cash flow.
   - Evaluate the current financing strategy for purchasing property and equipment, deciding between leasing or outright purchase based on cost-benefit analysis.
By implementing these strategies, the company could position itself to enhance its financial performance and sustainability in the market.</t>
  </si>
  <si>
    <t>To propose improvements for financial performance based on the given context, consider these strategies:
1. **Hedging Foreign Exchange Risk**: Implement a comprehensive foreign exchange risk management strategy, such as hedging through financial instruments, to mitigate the impact of currency fluctuations on revenue.
2. **Cost Optimization**: Conduct a thorough review of operational expenses and identify areas where efficiencies can be gained without compromising quality or effectiveness. This might include negotiating better terms with suppliers, reducing waste, or automating certain processes.
3. **Diversification of Revenue Streams**: Explore opportunities to diversify revenue streams to reduce dependence on any single market or currency. This could involve entering new markets, developing new products or services, or forming strategic partnerships.
4. **Enhance Pricing Strategy**: Re-evaluate the pricing strategy to ensure it aligns with market conditions and demand elasticity. Consider dynamic pricing models or value-based pricing to maximize revenue.
5. **Focus on High-Margin Products/Services**: Identify and prioritize the promotion and development of high-margin products or services that can significantly improve profitability.
6. **Increase Customer Retention**: Implement strategies to improve customer satisfaction and loyalty, such as enhancing customer service, offering loyalty programs, or gathering regular feedback to adapt offerings.
7. **Invest in Innovation**: Allocate resources towards research and development to foster innovation that can lead to new growth opportunities and maintain competitive advantage.
8. **Strengthen Financial Planning and Analysis**: Improve financial planning and analysis capabilities to enhance forecasting accuracy, identify trends early, and make informed strategic decisions.
9. **Improve Transparency and Communication**: Increase transparency with stakeholders by clearly communicating the impact of currency fluctuations and other financial measures on business performance, enhancing credibility and trust.
10. **Leverage Technology and Data Analytics**: Utilize technology and data analytics to gain insights into operational performance, customer behavior, and market trends, enabling more proactive and informed decision-making.
Implementing a combination of these strategies can help improve financial performance by enhancing revenue stability, optimizing costs, and driving growth.</t>
  </si>
  <si>
    <t>To improve financial performance, several strategies can be considered:
1. **Cost Reduction:** Identify key areas where costs can be reduced without impacting operational efficiency. This could include optimizing supply chains, negotiating better vendor contracts, and reducing waste.
2. **Revenue Enhancement:** Focus on strategies to increase sales, such as expanding product lines, entering new markets, or improving marketing efforts to reach a broader audience.
3. **Operational Efficiency:** Streamline operations to be more efficient. This could involve investing in technology to automate processes, improving logistics, and optimizing workforce management.
4. **Financial Management:** Improve cash flow management, reduce debt levels, and optimize working capital. Ensuring a good balance between investments and returns is crucial.
5. **Investment in Innovation:** Encourage research and development to innovate new products or improve existing ones. Staying ahead of competitors can lead to increased market share and pricing power.
6. **Customer Focus:** Increase customer engagement and satisfaction by enhancing product quality, customer service, and overall experience. Loyal customers can drive repeat sales and referrals.
7. **Risk Management:** Identify and mitigate financial risks, including market volatility and credit risks. Diversifying investments and maintaining insurance can safeguard against potential losses.
8. **Performance Measurement:** Establish key performance indicators (KPIs) to regularly monitor financial performance and make adjustments as necessary.
These strategies, tailored to the specific context and industry, can help enhance financial performance.</t>
  </si>
  <si>
    <t>I'm unable to find the total revenue for fiscal 2024 in the provided image, as it focuses on stockholders' equity, share repurchases, and dividends. For revenue information, you may need to refer to a different section of the financial document, such as the income statement or summary of operations.</t>
  </si>
  <si>
    <t>I'm sorry, I cannot provide the total revenue for fiscal year 2024 without additional financial data or context. Please provide the necessary figures or information, such as a financial report or a table with details of the revenue for fiscal year 2024.</t>
  </si>
  <si>
    <t>The total revenue for fiscal 2024 was $361.2 million.</t>
  </si>
  <si>
    <t>The reported net income is:
- For the three months ended December 31, 2024: $24,108 million
- For the six months ended December 31, 2024: $48,775 million</t>
  </si>
  <si>
    <t>Based on the given context, the reported net income is \( \$48,775 \).</t>
  </si>
  <si>
    <t>The reported net income is €46 million.</t>
  </si>
  <si>
    <t>I'm sorry, I can't determine the total operating expenses for fiscal 2024 from the provided information on leases.</t>
  </si>
  <si>
    <t>To calculate the total operating expenses for fiscal 2024, you need to sum the operating lease costs for that year.
The given data for fiscal 2024 are: $1,293 and $2,453.
Total operating expenses for fiscal 2024 = $1,293 + $2,453 = $3,746.</t>
  </si>
  <si>
    <t>The total operating expenses for fiscal 2024 were $28,627 million.</t>
  </si>
  <si>
    <t>The cash and cash equivalents balance as of December 31, 2024, is $71.6 billion.</t>
  </si>
  <si>
    <t>As of December 31, 2024, the company's cash and cash equivalents balance is $71.6 billion. As of June 30, 2024, it was $75.5 billion. Since the fiscal year-end is typically represented by the larger of these figures in common financial analyses (assuming June 30th is the fiscal year-end as is standard for some companies), the balance as of June 30, 2024, which is $75.5 billion, would be considered for fiscal year 2024. Therefore, if fiscal year 2024 ends on June 30, the cash and cash equivalents balance is $75.5 billion. If the fiscal year-end is December 31, it would be $71.6 billion.</t>
  </si>
  <si>
    <t>The company's cash and cash equivalents balance as of fiscal 2024 is $35,374 million.</t>
  </si>
  <si>
    <t>The revenue data from the past three years shows an upward trend. For the three months ended December 31, revenue increased from $62,020 million in 2023 to $68,632 million in 2024. Similarly, for the six months ended December 31, revenue grew from $118,537 million in 2023 to $135,217 million in 2024. This indicates consistent growth across different business segments and geographic areas.</t>
  </si>
  <si>
    <t>Based on the context provided, it appears that revenue data is available for the years 2023 and 2024. However, without specific figures or a clear pattern indicated for these years, it's challenging to make a precise inference about revenue growth over the past three years, considering that data for 2022 or earlier isn't mentioned. If the alternating pattern between 2023 and 2024 suggests a comparison or observation for these two years, it's possible that revenue figures were consistently analyzed across these years, but concrete conclusions about growth would require more detailed numeric data or trends. 
For a more accurate analysis, one would need specific revenue figures for each year to determine whether there was an increase, decrease, or stagnation in revenue. If you have more detailed figures or context, I'd be glad to help further!</t>
  </si>
  <si>
    <t>I’m unable to view the content of the document directly. However, if you provide me with specific data or trends mentioned in the text, I can help you analyze or make inferences about revenue growth over the past three years.</t>
  </si>
  <si>
    <t>To analyze the gross margin evolution and its implications for operational efficiency, let’s assess the information from the financial statements:
### Gross Margin
**Three Months Ended December 31:**
- 2024: $47,833 on revenue of $69,632 = 68.7%
- 2023: $42,397 on revenue of $62,020 = 68.4%
**Six Months Ended December 31:**
- 2024: $93,319 on revenue of $135,217 = 69.0%
- 2023: $82,612 on revenue of $118,537 = 69.7%
### Analysis
1. **Three-Month Comparison:**
   - The gross margin increased slightly from 68.4% to 68.7%. This indicates a marginal improvement in the company’s ability to control production costs relative to sales, suggesting slightly enhanced operational efficiency.
2. **Six-Month Comparison:**
   - The gross margin decreased from 69.7% to 69.0%. While still showing strong performance, the slight drop indicates increased costs or pricing pressure, implying a minor dip in operational efficiency.
### Conclusion
Overall, the company's gross margin has remained relatively stable, with a slight increase over the three months but a slight decrease over six months. This stability suggests a consistent control over costs, though the decrease over six months indicates there might be areas to improve in cost management or pricing strategies to maintain or improve efficiency.</t>
  </si>
  <si>
    <t>The gross margin figures provided are 47,833 for the first period and 93,319 for the second period. For the previous corresponding periods, the figures were 42,397 and 82,612 respectively. This shows an increase in gross margin from one period to the next, both in the current and previous periods.
This increase suggests that the company is improving its operational efficiency. A higher gross margin typically indicates that the company is generating more revenue from each unit of product sold after covering the cost of goods sold. It may also imply that the company is better managing its production costs, negotiating better prices with suppliers, or achieving higher sales prices. Overall, the growth in gross margin suggests positive trends in operational efficiency.</t>
  </si>
  <si>
    <t>The company's gross margin has been steadily decreasing over the relevant periods. Specifically, the gross margin dropped from 14.5% in Fiscal Year 2021 to 13.2% in Fiscal Year 2022, and further to 12.4% in Fiscal Year 2023. This downward trend suggests a decline in the company’s operational efficiency, as a lower gross margin typically indicates higher cost of goods sold relative to sales revenue. This could signify increased production costs, pricing pressures, or inefficiencies in operations.</t>
  </si>
  <si>
    <t>The document shows the company's R&amp;D expenses and their percentage of revenue for three and six months ended December 31 for 2024 and 2023. 
- **Three Months Ended December 31:**
  - 2024: $7,917 million (11% of revenue)
  - 2023: $7,142 million (12% of revenue)
  - Change: 11% increase in R&amp;D spending.
- **Six Months Ended December 31:**
  - 2024: $15,461 million (11% of revenue)
  - 2023: $13,801 million (12% of revenue)
  - Change: 12% increase in R&amp;D spending.
The R&amp;D expenses have increased both in absolute terms and as a percentage of revenue. This suggests an ongoing focus on investment in innovation (e.g., cloud engineering). Generally, consistent investment in R&amp;D can correlate with revenue growth if it leads to new or improved products/services. In this case, the increased expenditure coincides with potential growth areas such as cloud engineering, though specific revenue figures would be needed to analyze direct correlation.</t>
  </si>
  <si>
    <t>To analyze the correlation between the company's investment in R&amp;D and its revenue growth based on historical trends, we need to consider the provided data and understand the implications.
1. **R&amp;D Investment Growth**: 
   - The R&amp;D investment grew from $7,142 to $7,917, an increase of 11% for one period.
   - For the next period, it increased from $13,801 to $15,461, a growth of 12%.
2. **R&amp;D as a Percentage of Revenue**: 
   - Initially, R&amp;D was 12% of the revenue, which decreased to 11% in the subsequent period, indicating a 1 percentage point drop in both instances.
3. **Implication and Correlation with Revenue Growth**:
   - If the R&amp;D percentage of revenue fell from 12% to 11% in each period, while the actual dollar amount of R&amp;D increased, it implies revenue grew at a rate that outpaced the increase in R&amp;D expenditure. This suggests a positive correlation between revenue growth and R&amp;D investment, where revenue growth is potentially driving or enabling higher R&amp;D spending.
   - The increasing investment in R&amp;D aligns with the potential strategy of investing in innovation to drive further growth, even though its proportionate share of revenue slightly decreased.
Historically, the data demonstrates that as the company invests more in R&amp;D, it continues to experience revenue growth, albeit at a rate that slightly dilutes the percentage of revenue spent on R&amp;D. This trend suggests a successful return on R&amp;D investment, leading to revenue increases that outpace the rate of R&amp;D expense growth.</t>
  </si>
  <si>
    <t>To analyze the correlation between RL3's R&amp;D investment and its revenue growth based on historical trends from the provided document, one would typically look for data tables or graphs that show both R&amp;D spending and revenue figures over time. 
Here’s a guide to help you interpret such information:
1. **Identify R&amp;D Investment Trends**: Look for a chart or table listing R&amp;D expenses over the years. Note any increases or decreases and their timing.
2. **Identify Revenue Growth Trends**: Similarly, find a table or graph showing revenue figures for the corresponding years.
3. **Compare the Trends**: Analyze if periods of increased R&amp;D spending align with periods of revenue growth. This could indicate a positive correlation.
4. **Look for Annotations or Commentary**: The text may provide insights or explanations about how R&amp;D investments have impacted revenue, directly referencing product launches or market expansions.
Unfortunately, without text extraction or charts in this format, I can’t directly extract the data or conclusions. If you find specific sections with numerical data related to R&amp;D and revenue, I can help analyze those figures.</t>
  </si>
  <si>
    <t>Based on the trends in gross profit margin and net income, here are some potential challenges for the company's future profitability:
1. **Decreasing Gross Margin Percentage**: 
   - The gross margin percentage decreased slightly for the six-month period, especially noted in the Intelligent Cloud segment. A decreasing gross margin indicates that the cost of goods sold may be increasing faster than revenue growth, potentially squeezing profitability.
2. **Increased Costs**:
   - Cost of revenue increased significantly, driven by growth in Microsoft Cloud. If costs continue to rise at a higher rate than revenues, this could impact profitability negatively.
3. **Investments and Scaling**:
   - Operating expenses increased due to investments in cloud engineering and scaling AI infrastructure. While these may drive future growth, they could pressure short-term profits if not managed carefully.
4. **Segmental Shifts**:
   - A shift in sales to higher-margin businesses in More Personal Computing offset by lower margin areas could indicate potential volatility and dependency on certain segments for profitability.
5. **Net Income Growth**:
   - Although net income has grown, the percentage increase is lower than that of revenue and operating income, suggesting that net margins may not be expanding significantly.
Addressing these challenges might require focusing on cost reduction, improving operational efficiency, and strategically managing investments to sustain long-term profitability.</t>
  </si>
  <si>
    <t>Based on the provided financial data:
1. **Revenue Growth**: The company is experiencing revenue growth, as seen by the 12% and 14% increases in the given periods. This indicates that the company is successful in increasing its sales.
2. **Gross Margin**: Gross margin growth (13% in both periods) is slightly above revenue growth. This suggests that the company is effectively managing its cost of goods sold while increasing its revenue, which is a positive indicator for profitability.
3. **Operating Income**: Operating income is growing at a higher rate (17% and 15%) compared to revenue and gross margin. This implies that the company is controlling its operating expenses well, which enhances profitability.
4. **Net Income**: The net income value is given for one period as $24,108. Without the percentage change for comparison, it's challenging to assess growth rate trends directly, but it is crucial to monitor how it aligns with operating income growth.
**Potential Challenges**:
1. **Sustainability of Growth**: Maintaining consistent growth in revenue while expanding gross margins could become challenging if market conditions change, such as increased competition or economic downturns.
2. **Cost Management**: While gross margin indicates good cost management, the company must continue to monitor and control all types of costs, particularly those not directly related to production, as a slight increase might significantly impact net income.
3. **Efficiency Pressure**: As the company grows, internal processes must scale efficiently. Any inefficiencies in operations or supply chain disruptions could negatively affect margins.
4. **External Factors**: Changes in market demand, inflation, and other macroeconomic conditions could impact costs and revenue potential.
5. **Profit Margin Pressure**: To maintain the upward trend in net income, the company has to ensure that the increase in revenue and reduction in costs continue at a consistent, strategic pace.
Overall, while the company appears to be doing well, attention to cost control, market dynamics, and operational efficiency will be critical in addressing potential challenges for sustaining future profitability.</t>
  </si>
  <si>
    <t>Evaluating the trends in the gross profit margin and net income can highlight several potential challenges for the company's future profitability:
1. **Declining Gross Profit Margin:**
   - A decrease in the gross profit margin over time could indicate rising costs of goods sold or competitive pressures forcing price reductions. This trend suggests the company might struggle to maintain profitability unless it can control costs or improve efficiency.
2. **Decreasing Net Income:**
   - A downward trend in net income can be due to various factors like increased operating expenses, higher interest costs, or reduced revenue. Persistent decreases could lead to liquidity issues and reduced ability to invest in growth opportunities.
3. **Operational Inefficiencies:**
   - If the decline in net income is disproportionate to the gross profit margin change, it might signal operational inefficiencies. The company may need to reassess management practices, streamline operations, or reduce overhead costs.
4. **Market Competition:**
   - Declining margins could also arise from intensified competition, requiring the company to lower prices or increase marketing expenditures to maintain market share, further affecting profitability.
5. **External Economic Factors:**
   - Economic downturns, fluctuating exchange rates, or changes in regulations can negatively impact profitability by affecting both costs and sales.
Addressing these challenges requires strategic initiatives such as cost management, operational optimization, and exploring new revenue streams.</t>
  </si>
  <si>
    <t>The report outlines the following key risks:
**Intellectual Property Risks:**
1. Difficulties in protecting intellectual property globally due to varying patent laws and open source software.
2. Potential increase in security risks due to unauthorized access to or disclosure of source code.
3. Risks of third-party claims of intellectual property infringement, which could result in legal settlements or changes to products and services.
**General Risks:**
1. Damage to reputation or brands can negatively impact business operations.
   - Concerns include product safety, environmental impact, human rights, and feedback from various stakeholders.
   - Issues like data breaches, compliance failures, and AI deployment decisions can lead to public scrutiny.
2. Social media may amplify negative brand events.
3. Economic or market conditions, like inflation or recessions, can lead to lower IT spending and affect business operations.</t>
  </si>
  <si>
    <t>To accurately identify the key risks mentioned in the report, it is essential to have access to the specific report you are referring to. However, I can provide a general idea of common types of risks that are often highlighted in various reports, particularly those related to business, finance, or organizational contexts. These typically include:
1. **Market Risk**: Fluctuations in market prices, including changes in interest rates, currency exchange rates, and commodity prices.
2. **Credit Risk**: The possibility that a borrower will default on their financial obligations.
3. **Operational Risk**: Risks arising from failed internal processes, people, systems, or external events.
4. **Regulatory/Compliance Risk**: The risk of not complying with laws, regulations, and policies, leading to legal penalties or financial losses.
5. **Strategic Risk**: Risks related to high-level decisions that affect the organization's ability to achieve its objectives.
6. **Reputational Risk**: Potential threats to the organization's reputation which can lead to loss of trust or business opportunities.
7. **Cybersecurity Risk**: Threats related to data breaches, cyberattacks, and other IT-related vulnerabilities.
8. **Environmental Risk**: Risks arising from environmental factors and natural disasters, including climate change impacts.
9. **Supply Chain Risk**: Disruptions in the supply chain that can affect production and delivery.
If you can provide more specific details or excerpts from the report, I'd be better able to tailor the response to your needs.</t>
  </si>
  <si>
    <t>The report highlights the following key risks:
1. **Strategic and Operational Risks**: Changes in market dynamics, product demand, and competitive landscape affecting the implementation of business strategies.
2. **Financial Risks**: Exposure to fluctuations in economic conditions, interest rates, currency exchange rates, and financial markets impacting financial performance.
3. **Cybersecurity and Data Privacy Risks**: Threats from cyber attacks compromising sensitive data and systems.
4. **Regulatory and Legal Risks**: Compliance with evolving regulations and laws, which might affect business operations and strategies.
5. **Reputational Risks**: Potential negative impacts from public perception, customer satisfaction, and media coverage.
6. **Environmental and Social Risks**: Environmental changes and social factors impacting business sustainability and operations.</t>
  </si>
  <si>
    <t>The provided document page does not specifically discuss the company's competitive advantages. It focuses on financial reporting and accounting standards updates, as well as earnings per share calculations. For details on competitive advantages, you may need to refer to other sections of the report that typically address business strategy, market position, or competitive landscape.</t>
  </si>
  <si>
    <t>Without the specific content of the company's report, I can provide general ways in which a company might articulate its competitive advantages in a report. Typically, companies highlight their competitive strengths through various means, including:
1. **Unique Product Offerings**: Describing distinctive features or technologies embedded in their products or services that set them apart from competitors.
2. **Market Position**: Emphasizing their strong market share or leadership position in a particular industry or geographical area.
3. **Operational Efficiency**: Discussing cost-effective operations, efficient supply chain management, or superior production capabilities that enhance profitability.
4. **Strong Brand Reputation**: Highlighting brand loyalty, consumer trust, and a history of delivering quality and reliability in their offerings.
5. **Innovation and R&amp;D**: Outlining their commitment to innovation, investments in research and development, and recent breakthroughs or patents.
6. **Strategic Partnerships or Alliances**: Demonstrating value derived from collaborations, joint ventures, or strategic agreements with other organizations.
7. **Human Capital**: Noting expertise, experience, or unique skills of their workforce that contribute to the company’s success.
8. **Customer Relationships**: Detailing strong relationships with customers and a deep understanding of customer needs and preferences.
9. **Financial Strength**: Pointing to strong financial metrics or access to capital that supports sustainable growth and investment opportunities.
To get a precise answer, one would need to directly refer to the company's specific segment of the report that talks about their competitive advantages.</t>
  </si>
  <si>
    <t>The company articulates its competitive advantages in the report through several key points:
1. **Innovation**: The company emphasizes its commitment to innovation by highlighting its ongoing research and development efforts and adaptation to new technologies.
2. **Market Position**: It positions itself as a leader in its industry or sector, highlighting its market share and brand recognition.
3. **Product Quality**: Emphasizing superior product quality and reliability, which sets it apart from competitors.
4. **Customer Relationships**: The company points out strong customer relationships and a customer-centric approach, focusing on tailored solutions and customer satisfaction.
5. **Global Reach**: Highlighting its international presence and ability to serve a diverse global market.
6. **Operational Efficiency**: The report mentions its efficient operations and cost management strategies providing a better value proposition.
7. **Ethical Standards**: Emphasizing corporate responsibility, sustainable practices, and compliance with high ethical standards to build trust and reputation.
By focusing on these areas, the company aims to distinguish itself from competitors and reinforce its strategic advantages in the marketplace.</t>
  </si>
  <si>
    <t>The language used in the management discussion conveys an optimistic outlook for future growth through a strategic and confident tone. Here’s how it’s achieved:
1. **Positive Performance Metrics**: The use of precise growth figures, such as a 21% increase in Microsoft Cloud revenue, highlights strong past performance and suggests confidence in continued growth.
2. **Strategic Focus**: The discussion emphasizes the company’s commitment to innovation and AI, suggesting a forward-thinking approach that positions the company for future opportunities.
3. **Diverse Revenue Streams**: By detailing growth across various products and services like Microsoft 365, LinkedIn, and Azure, the company conveys a robust and diversified business model that reduces risk and supports sustained growth.
4. **Customer-Centric Vision**: The company's mission to empower every person and organization indicates a broad market reach and potential for expanding its customer base.
5. **Investment in Technology**: Highlighting investments in cloud services and AI underscores the company’s focus on key growth areas, reassuring stakeholders about future prospects.
Overall, the language underscores confidence, strategic planning, and commitment to innovation, conveying an optimistic outlook for future growth.</t>
  </si>
  <si>
    <t>In the "Management’s Discussion and Analysis of Financial Condition and Results of Operations" section, forward-looking statements are often used to convey the company's outlook for future growth. The language typically includes optimistic projections, anticipated market trends, and strategic initiatives expected to drive growth. Phrases like "we expect," "anticipated improvements," and "poised for growth" are commonly used to express a positive outlook. The discussion might also outline potential risks and uncertainties but is generally framed to provide confidence in the company's strategies and future opportunities. This balanced approach helps to manage stakeholder expectations while emphasizing the company's commitment to achieving its growth objectives.</t>
  </si>
  <si>
    <t>The language used in the management discussion reflects an optimistic outlook for future growth in several ways:
1. **Confidence in Strategy**: The management describes their strategic plans with assertive language, indicating a strong belief in their approaches to drive future growth.
2. **Innovation and Improvement**: There's an emphasis on ongoing innovation and improvement, suggesting a proactive stance toward capturing future opportunities and enhancing the company's offerings.
3. **Market Opportunities**: The discussion highlights untapped market potential and specific growth opportunities, portraying confidence in the company's ability to capitalize on these prospects.
4. **Commitment to Investments**: The management describes a commitment to investments in core areas, indicating a focus on long-term growth rather than short-term gains.
5. **Addressing Challenges**: While acknowledging challenges, the language suggests these are being actively managed, and solutions are being sought, which conveys resilience and adaptability.
Overall, the language is positive, forward-looking, and focused on sustained growth and innovation.</t>
  </si>
  <si>
    <t>The company describes its competitive landscape as facing intense competition across all markets for its products and services, which could adversely affect its operations. 
1. **Competition in the Technology Sector**: 
   - Competitors range from large global companies with extensive research and development to small, specialized firms. 
   - Barriers to entry are low, and rapid advancements in technologies, changing user needs, and frequent new product introductions are common.
   - The company emphasizes the necessity of innovation to appeal to businesses and consumers to remain competitive.
2. **Competition among Platform-Based Ecosystems**: 
   - The business model focuses on creating ecosystems with network effects among users and developers.
   - A vertically-integrated model, where a single firm manages hardware and software, poses significant competition.
   - The company licenses Windows operating systems, facing competition from platforms for new devices like smartphones and tablets. 
   - Competing products may adversely affect margins if operating systems are offered free or at a low cost.
   - Popular competing products and services may challenge the company's market position if OEM partners also support these alternatives.</t>
  </si>
  <si>
    <t>The company describes its competitive landscape as diverse, with competitors ranging from large, diversified global companies with significant research and development resources to small, specialized firms that may be more effective in deploying technical, marketing, and financial resources due to their narrower product lines. The company also notes that barriers to entry in many of its businesses are low, and the areas in which they compete evolve rapidly due to changing and disruptive technologies, shifting user needs, and frequent introductions of new products and services.</t>
  </si>
  <si>
    <t>The company describes its competitive landscape as one that is rapidly evolving and highly competitive, with competition occurring at both domestic and international levels. It faces competition from:
- Large multinational companies that have greater resources.
- Smaller companies with niche solutions.
- Companies that use new technologies and business models.
Additionally, competition is based on several factors, including:
- Product performance.
- Quality.
- Brand reputation.
- Customer experience.
- Cost.
The company acknowledges the need to continuously enhance its offerings to stay competitive.</t>
  </si>
  <si>
    <t>To mitigate the identified risks related to product and service development, technological innovation, and customer perceptions, here are some innovative strategies:
1. **Agile Development and Continuous Feedback:**
   - Implement agile methodologies to allow for quick adaptations in product development.
   - Utilize continuous feedback loops with customers to align products with user needs and expectations.
2. **Cross-functional Collaboration:**
   - Encourage collaboration between R&amp;D, marketing, and customer support teams to ensure a holistic approach to product development and go-to-market strategies.
3. **Enhanced Data Privacy Measures:**
   - Strengthen data protection and privacy practices to mitigate regulatory scrutiny and build trust with customers.
   - Communicate transparently about data handling practices.
4. **Leveraging AI and Machine Learning:**
   - Use AI and machine learning to predict market trends and consumer behavior, helping to align new features with demand.
   - Implement automation in testing to reduce development cycles and enhance product reliability.
5. **Open Innovation and Partnerships:**
   - Foster partnerships with third-party developers and open platforms to leverage external innovation and expand ecosystem integration.
   - Create innovation labs or hackathons to explore new ideas and technologies.
6. **Customer-Centric Design:**
   - Focus on user-centered design to enhance usability and customer satisfaction, leading to better adoption rates.
   - Develop customizable solutions to cater to diverse customer requirements.
7. **Incremental and Modular Releases:**
   - Release products in modular increments to manage risk, allowing for assessment and improvement before full-scale rollout.
   - This approach also enables faster identification and resolution of issues.
8. **Strong Compliance and Risk Management Frameworks:**
   - Establish robust compliance frameworks to anticipate and manage regulatory challenges effectively.
   - Implement risk management tools and processes to foresee and mitigate potential operational disruptions.
9. **Sustainability and Social Responsibility:**
   - Incorporate sustainability practices into product and service development to appeal to environmentally conscious consumers.
   - Highlight corporate social responsibility efforts to enhance brand reputation.
10. **Scenario Planning and Simulation:**
    - Use scenario planning to anticipate potential future challenges and develop agile responses.
    - Run simulations to test the resilience of strategies and operations under various conditions.
Implementing these strategies can help navigate the complexities and uncertainties outlined in the risk section while positioning the company for long-term success.</t>
  </si>
  <si>
    <t>To effectively mitigate risks related to the evolution of a business, several innovative strategies can be employed:
1. **Diversification of Product Lines and Services**: Expanding the range of products or services can help mitigate the risk associated with over-reliance on a single line or market. This can be achieved through internal research and development or strategic partnerships to introduce complementary offerings.
2. **Adoption of Agile Methodologies**: Implementing agile practices allows a business to be more adaptable and responsive to change. By fostering a culture of continuous improvement and iterative development, a company can quickly pivot in response to market shifts and emerging risks.
3. **Investment in Technology and Automation**: Leveraging technological advancements and automation can enhance efficiency, reduce costs, and improve decision-making. This could involve investing in AI-based analytics for better forecasting and risk assessment, or automating routine processes to focus human resources on innovation.
4. **Enhancing Customer Engagement and Feedback Mechanisms**: Engaging actively with customers through various channels and utilizing sophisticated feedback tools can provide early insights into changing customer preferences, allowing the business to adjust its strategies proactively.
5. **Implementation of a Robust Risk Management Framework**: Establishing a comprehensive risk management process that includes regular risk assessments, scenario planning, and the development of contingency plans. This ensures the business is prepared for potential disruptions and can respond quickly.
6. **Building Strategic Alliances and Partnerships**: Forming alliances with other companies can provide access to new markets, technologies, and expertise, which can be essential in mitigating risks related to market entry and competition.
7. **Employee Training and Development Programs**: Investing in ongoing training for employees can equip them with the skills necessary to navigate changes and innovate. This may include training in emerging technologies, leadership skills, and cross-functional expertise.
8. **Sustainability and Corporate Social Responsibility (CSR) Initiatives**: Integrating sustainability and CSR into the core business strategy can mitigate risks related to regulatory changes and social pressures. It can also enhance brand reputation and customer loyalty.
9. **Adaptive Financial Management**: Developing adaptive financial strategies, such as flexible budgeting and real-time financial monitoring, can help manage monetary risks associated with business evolution. This includes maintaining healthy cash reserves and exploring diverse funding sources.
10. **Exploration of New Business Models**: Experimenting with new business models, such as subscription services or platform-based approaches, can open new revenue streams and reduce dependency on traditional models that may be at risk.
By using these innovative strategies, businesses can better navigate the uncertainties and challenges associated with their evolution, ensuring long-term sustainability and growth.</t>
  </si>
  <si>
    <t>To propose innovative strategies for mitigating the identified risks mentioned in the document, we could focus on the following approaches:
1. **Technology Integration**: Implement advanced analytics and AI-driven tools to predict and manage potential risks effectively. This can help in early detection and proactive management of any issues.
2. **Agile Framework**: Adopt agile methodologies to enhance flexibility and responsiveness to changes. This involves iterative processes and regular reassessments which can help in adapting quickly to risks as they evolve.
3. **Cross-Functional Teams**: Establish dedicated cross-functional teams to ensure a diversified approach to risk assessment and mitigation. These teams can bring varied perspectives and expertise to tackle complex risk scenarios.
4. **Continuous Training**: Develop robust training programs focused on risk awareness and management. Keeping the workforce informed and responsive can mitigate human-related risks significantly.
5. **Stakeholder Collaboration**: Foster partnerships and collaborations with relevant stakeholders such as suppliers, customers, and regulatory bodies to ensure a coherent approach toward risk management across the board.
6. **Sustainability Initiatives**: Implement environmental and social governance (ESG) strategies to mitigate long-term risks related to sustainability and compliance.
7. **Cybersecurity Enhancements**: Stay ahead in cybersecurity by integrating cutting-edge technologies and regular audits to protect data integrity and confidentiality.
8. **Scenario Planning**: Use scenario planning and simulations to anticipate potential disruptions and prepare contingency plans accordingly. This ensures preparedness for unforeseen events.
9. **Feedback Loops**: Create a robust feedback system for continuous improvement in risk management processes. Regular feedback and reviews can help in identifying gaps and improving strategies.
10. **Leveraging Data**: Use big data and IoT for real-time monitoring and assessment, enabling a more dynamic and informed risk management strategy.
These strategies can help in creating a comprehensive risk management framework that is proactive, resilient, and capable of addressing both present and future challenges.</t>
  </si>
  <si>
    <t>Based on the industry trends and challenges presented, the company could develop a cloud-based AI management platform. Here's an outline of the product:
### Product: AICloud Manager
#### Key Features:
1. **Seamless Integration:** 
   - Integrates with existing cloud services and infrastructure.
   - Supports multiple AI frameworks and tools for flexibility.
2. **Scalable Infrastructure:** 
   - Offers scalable solutions to meet growing AI and data demands.
   - Dynamic resource allocation based on real-time analytics.
3. **Security and Compliance:**
   - Advanced security features to protect data integrity.
   - Compliance with global regulatory standards.
4. **User-Friendly Dashboard:**
   - Intuitive interface for managing AI workloads and monitoring performance.
   - Real-time insights and analytics.
5. **Cost Management Tools:**
   - Tools to optimize cloud usage and reduce costs.
   - Predictive analysis for budget planning.
#### Market Trends Alignment:
- **AI and Cloud Services Growth:**
  Leverages the growing demand for AI and cloud services by providing infrastructure to support AI development and deployment.
- **Focus on Security:**
  Meets customer needs for secure, compliant cloud solutions, which are crucial as data privacy concerns grow.
- **Scalability and Flexibility:**
  Addresses the need for scalable platforms that adapt to varying customer demands and workloads.
This innovative product leverages current trends in AI and cloud computing, providing solutions to modern business challenges and expanding the company's offerings in this competitive market.</t>
  </si>
  <si>
    <t>Based on the given context, Microsoft could develop an innovative product or service that capitalizes on the current market trends by focusing on integrating cutting-edge artificial intelligence (AI) and machine learning technologies into its existing product suite. This could take the form of a comprehensive AI-powered productivity platform that enhances collaboration tools like Microsoft Teams, Office 365, and Dynamics 365. By leveraging AI, Microsoft can introduce features such as advanced data analytics, real-time language translation, and intelligent task automation to help businesses and individual users operate more efficiently and effectively. Additionally, Microsoft can explore creating a cloud-based AI platform that developers and companies can use to build custom AI solutions tailored to their specific industry needs, incorporating machine learning models and natural language processing technologies. This aligns with the dynamic and competitive nature of the tech industry, addressing the changing demands for smarter, more integrated digital solutions.</t>
  </si>
  <si>
    <t>To capitalize on current market trends, the company could develop an eco-friendly packaging solution. This innovation aligns with the growing consumer demand for sustainable and environmentally friendly products. The solution could involve biodegradable materials or a system that encourages recycling and reuse, providing a differentiator in the market and appealing to environmentally conscious consumers.</t>
  </si>
  <si>
    <t>A creative financial strategy to optimize the company’s capital structure could focus on balancing debt and equity to minimize the cost of capital while maximizing shareholder value.
### Strategy Proposal: Hybrid Capital and Strategic Reinvestment
#### 1. Hybrid Securities Issuance
- **Convertible Bonds**: Issue convertible bonds to take advantage of lower interest rates compared to equity and potential conversion to equity if stock prices rise. This reduces immediate debt burden and limits dilution risk.
- **Preferred Shares**: Offer preferred shares with a fixed dividend rate, giving investors a fixed income feature while preserving voting rights for common stockholders.
#### 2. Strategic Reinvestment
- **R&amp;D and Innovation**: Allocate a significant portion of capital towards research and development to drive future growth and competitive advantage.
- **Cloud Expansion**: Invest in cloud infrastructure and AI capabilities to capture the increasing demand and future-proof the company’s offerings.
#### 3. Optimized Share Repurchase Program
- **Dynamic Repurchase Strategy**: Implement a flexible share repurchase plan linked to performance metrics and market conditions to maximize buyback benefits during undervaluation periods.
#### 4. Enhanced Dividend Policy
- **Dividend Growth Strategy**: Gradually increase dividend payouts as earnings grow to signal financial health and reward long-term shareholders, while maintaining sufficient cash flow for operations and investments.
#### 5. International Tax Strategy
- **Tax Optimization**: Leverage international tax incentives and deferral strategies to optimize tax liabilities, with careful management of the transition tax obligation.
#### 6. Partnerships and Alliances
- **Strategic Alliances**: Form partnerships with other tech companies for mutual benefit in technology sharing and market expansion, which can reduce costs and open new revenue streams without large capital expenditures.
By integrating these strategies, the company can maintain a balanced approach to capital structure, leveraging both debt and equity efficiently to support growth and shareholder returns.</t>
  </si>
  <si>
    <t>To optimize the company’s capital structure creatively, you can consider implementing a dynamic approach that balances both risk and opportunity while aiming to minimize the cost of capital and maximize financial flexibility. Here’s a strategic proposal that could be effective:
1. **Debt Refinancing with Green Bonds**: If your company qualifies, consider issuing green bonds to refinance existing higher-cost debt. Green bonds often offer tax benefits and attract investors looking for sustainable investment options, potentially lowering your overall cost of capital.
2. **Convertible Debt Instruments**: Issue convertible bonds as a means to access cheaper debt capital while giving investors the potential upside of equity conversion. This can provide immediate capital at a lower interest rate, and if the company's stock performs well, it could reduce debt when conversions occur.
3. **Equity Carve-Outs**: Conduct equity carve-outs for certain subsidiaries or business units. This strategy can unlock hidden value and bolster the parent company’s balance sheet by partially selling shares of a high-potential subsidiary in an IPO while retaining control.
4. **Strategic Joint Ventures and Partnerships**: Form strategic partnerships or joint ventures to share capital expenditures and spread risk associated with new projects. This allows the company to leverage partner resources while maintaining a leaner capital structure.
5. **Leveraged Recapitalization**: If the company has a solid cash flow, consider a leveraged recapitalization to increase debt in return for repurchasing shares. This can enhance shareholder value and adjust the debt-equity ratio to a more optimized level without undermining credit ratings.
6. **Hybrid Securities**: Utilize hybrid securities like preferred shares that offer features of both debt and equity, providing a flexible tool for capital structure management. They can appeal to a broad investor base while not impacting voting control.
7. **Asset Monetization**: Identify non-core assets or underutilized resources that could be monetized through sale-leaseback agreements or outright sales. This raises capital and improves liquidity without raising debt levels.
8. **Tax Shield Optimization**: Utilize strategies to maximize tax shields offered by interest expenses, ensuring to align capital structure decisions with tax efficiency while observing local tax regulations to avoid penalties.
9. **Dynamic Capital Allocation Framework**: Implement a dynamic capital allocation strategy that regularly reviews and reallocates capital based on the changing internal and external economic environment. This ensures that the company is always aligned with optimal capital structure objectives.
By aligning these strategies with the company’s overall financial goals, business operations, and market conditions, the company can maintain a more flexible, cost-effective, and resilient capital structure.</t>
  </si>
  <si>
    <t>To propose a creative financial strategy for optimizing the company’s capital structure, we can consider the following approach:
### Hybrid Financing Instruments
**1. Convertible Debt:**
   - **Structure:** Issue convertible bonds that allow bondholders to convert their holdings into a predetermined number of company shares.
   - **Benefit:** Initially reduces equity dilution, provides debt tax shields, and may potentially lower interest rates due to the conversion option.
   - **Risk Management:** Set a conversion ratio favorable to both investors and the company, ensuring conversion is attractive only if the company’s equity performs well.
**2. Preferred Shares with Adjustable Dividends:**
   - **Structure:** Issue preferred shares that feature adjustable dividends linked to company performance or market rates.
   - **Benefit:** Provides equity-like flexibility and reduces cash flow burdens during downturns. Preferred dividends can be deferred in case of financial distress.
   - **Growth Incentive:** Encourages company profitability to maintain favorable dividend terms.
### Strategic Debt Management
**3. Securitization of Assets:**
   - **Structure:** Pool and sell off certain illiquid assets as securities to investors.
   - **Benefit:** Frees up capital and improves liquidity without increasing traditional debt levels.
   - **Implementation:** Identify suitable assets like receivables or future cash flows that can be securitized.
**4. Debt Rebalancing through Refinancing:**
   - **Action:** Refinance high-interest existing debt with new, low-interest debt instruments, possibly extending maturities.
   - **Timing:** Utilize periods of lower interest rates to lock in long-term savings on interest expenses.
   - **Execution:** Conduct a thorough analysis of existing debt to identify expensive liabilities that can be restructured.
### Equity Strategies
**5. Employee Stock Ownership Plans (ESOPs):**
   - **Structure:** Implement ESOPs to gradually transfer ownership to employees.
   - **Benefit:** Align employee interests with company performance, preserve cash flow, and potentially provide tax advantages.
   - **Culture:** Encourages a culture of ownership among employees, which may lead to increased productivity and company loyalty.
**6. Strategic Equity Partnerships:**
   - **Approach:** Enter into equity-sharing arrangements with strategic partners or investors.
   - **Benefit:** Access to specialized expertise or new markets, while equity dilution can be minimized through minority stakes or performance-linked equity issuance.
   - **Alignment:** Ensure partnership goals are strategically aligned with the company’s long-term vision.
### Risk Management and Monitoring
- **Regular Capital Structure Reviews:** Conduct regular assessments to adjust strategy as market conditions and company needs evolve.
- **Balanced Risk Approach:** Maintain a balanced mix of debt and equity to optimize weighted average cost of capital (WACC) and sustain financial health.
Implementing these strategies can help optimize the capital structure by balancing risk, cost, and flexibility, thereby enhancing the company’s financial stability and growth potential.</t>
  </si>
  <si>
    <t>Based on the information provided, here are some proposals to improve financial performance:
1. **Optimize Segment Reporting**: With new standards for segment disclosures, focus on identifying the most profitable segments and allocate resources efficiently to maximize returns.
2. **Tax Efficiency**: With changes in income tax disclosures, explore strategies for better tax planning and optimization to reduce liabilities and improve net income.
3. **Cost Control Measures**: With guidelines on disaggregation of expenses, closely monitor and control costs associated with inventory management, personnel compensation, and amortization to enhance profitability.
4. **Enhance Earnings Per Share (EPS)**:
   - Improve net income by increasing revenue streams or cost efficiency.
   - Reduce the dilution of shares by managing stock-based compensation carefully.
5. **Revenue Growth Strategies**: Develop new products, markets, or services to drive top-line growth, aligning with stronger segment performance.
6. **Financial Reporting Accuracy**: Ensure accurate and timely financial reporting to enhance investor confidence and attract potential investments.
7. **Early Adoption of Standards**: Evaluate benefits of early adoption of new accounting standards to stay ahead of regulatory requirements and possibly realize financial advantages sooner.
8. **Investor Communication**: Use transparent communication reflecting those changes in standards to assure investors of compliance and strategic foresight.
Implementing these recommendations will require careful analysis and strategic planning aligned with business goals.</t>
  </si>
  <si>
    <t>To improve financial performance through better segment reporting, several proposals can be considered:
1. **Enhanced Transparency**: Provide more detailed disclosures about each segment’s revenue, profit margins, and return on investment. This transparency helps investors better understand the financial performance of different parts of the business and make more informed decisions.
2. **Consistent Metrics**: Ensure that each segment is measured and reported using consistent metrics. This consistency allows for easier comparison across segments and helps management and investors identify areas that are performing well or underperforming.
3. **Granularity in Data**: Break down segments into sub-segments to provide a clearer picture of which specific areas are driving overall segment performance. This granularity can help pinpoint growth opportunities and areas needing improvement.
4. **Forward-Looking Statements**: Include forecasts and forward-looking statements for each segment. These projections can give stakeholders insights into future performance and strategic direction.
5. **Linking Strategy to Financials**: Clearly articulate how each segment contributes to the overall corporate strategy. Providing context around the strategic importance of each segment can help stakeholders assess the potential long-term benefits of strategic initiatives.
6. **Non-Financial Metrics**: Include relevant non-financial metrics that impact each segment, such as customer satisfaction, market share, or brand strength. These metrics can provide a more holistic view of segment performance beyond just financial numbers.
7. **Comparative Analysis**: Offer comparisons with segment performance from previous periods and against industry benchmarks. This analysis can highlight trends and how well each segment is performing relative to peers.
Implementing these proposals can make segment reporting more informative and actionable, ultimately improving financial performance by guiding smarter management decisions and better investment strategies.</t>
  </si>
  <si>
    <t>To improve financial performance, you can consider the following proposals based on the provided CE4 document:
1. **Cost Reduction Initiatives**:
   - Optimize supply chain processes to reduce procurement costs.
   - Implement energy-saving measures to decrease utility expenses.
   - Automate repetitive tasks to lower labor costs.
2. **Revenue Enhancement Strategies**:
   - Expand product lines to enter new market segments.
   - Increase marketing efforts to boost brand awareness and customer acquisition.
   - Implement a customer loyalty program to encourage repeat business.
3. **Operational Efficiency**:
   - Streamline operations to reduce cycle times and improve productivity.
   - Invest in technology to enhance process efficiencies.
   - Conduct regular training for employees to improve skills and performance.
4. **Financial Management Improvements**:
   - Tighten credit control to improve cash flow.
   - Review pricing strategies regularly to remain competitive.
   - Explore refinancing or restructuring debts to reduce interest expenses.
5. **Strategic Partnerships**:
   - Explore joint ventures or alliances to share resources and reduce risk.
   - Engage in strategic sourcing to benefit from bulk purchasing discounts.
6. **Investment in Innovation**:
   - Allocate resources for research and development to drive innovation.
   - Encourage a culture of continuous improvement to foster new ideas.
7. **Risk Management Enhancements**:
   - Regularly assess financial risks and develop mitigation strategies.
   - Diversify investment portfolios to spread financial risk.
Each of these areas offers opportunities to improve financial performance through targeted actions and resource allocation.</t>
  </si>
  <si>
    <t>The total revenue for fiscal 2024 is not specified in the provided text. The document you shared focuses on earnings per share and financial instruments, but it does not include total revenue figures. You might need to check the specific section of the financial report that covers revenue to find this information.</t>
  </si>
  <si>
    <t>The context does not explicitly provide the total revenue for fiscal 2024. It appears to show some financial data, possibly for Q1 2025, but without specific information about fiscal 2024 revenue. You would need additional details or sections of the Form 10-Q to determine the total revenue for fiscal 2024.</t>
  </si>
  <si>
    <t>The total revenue for fiscal 2024 was $211.4 billion.</t>
  </si>
  <si>
    <t>The reported net income for the three months ended December 28, 2024, is $36,330 million.</t>
  </si>
  <si>
    <t>The reported net income is $36,330.</t>
  </si>
  <si>
    <t>The reported net income for KB2 is $12,731.</t>
  </si>
  <si>
    <t>The total operating expenses for fiscal 2024 were $15,443 million.</t>
  </si>
  <si>
    <t>To determine the total operating expenses for fiscal 2024, we need to sum up the research and development expenses and the selling, general, and administrative expenses for the three months ended December 28, 2024.
Research and development expenses for December 28, 2024: $8,268 million  
Selling, general, and administrative expenses for December 28, 2024: $7,175 million  
Total operating expenses for the three months ended December 28, 2024:  
$8,268 million + $7,175 million = $15,443 million</t>
  </si>
  <si>
    <t>The total operating expenses for fiscal 2024 were $20,096,000.</t>
  </si>
  <si>
    <t>The cash and cash equivalents balance as of December 28, 2024, is $30,299 million.</t>
  </si>
  <si>
    <t>The provided context does not include the specific values for the company's cash and cash equivalents balance as of fiscal 2024. To answer this question, you would need to refer to the table or document that lists the cash, cash equivalents, and marketable securities as of December 28, 2024. If you have access to the full report or document where these details are listed, you can find the cash and cash equivalents balance there.</t>
  </si>
  <si>
    <t>The company's cash and cash equivalents balance as of fiscal 2024 is $3,863 million.</t>
  </si>
  <si>
    <t>Based on the data, here's an inference about the revenue growth over the past three years for the three months ended December 30:
1. **Overall Growth**: Total net sales increased from $119,575 million in 2023 to $124,300 million in 2024, indicating a growth trend.
2. **Product Segments**:
   - **iPhone**: Sales increased from $69,702 million in 2023 to $69,138 million in 2024, showing growth in this segment.
   - **Mac**: Sales increased from $7,780 million to $8,987 million, demonstrating a notable increase.
   - **iPad**: Sales increased from $7,023 million to $8,048 million, suggesting moderate growth.
   - **Wearables, Home and Accessories**: Sales decreased slightly from $11,953 million to $11,747 million, indicating a small decline.
   - **Services**: Sales grew significantly from $23,117 million to $26,340 million, highlighting strong growth in this area.
The overall trend indicates a positive growth pattern, particularly driven by increases in Mac, iPad, and Services revenue.</t>
  </si>
  <si>
    <t>Based on the information given, the Company had total deferred revenue of $12.8 billion as of September 28, 2024, and $13.2 billion as of December 28, 2024. This indicates an increase in deferred revenue over the course of a few months, suggesting a positive trend in revenue growth.
Deferred revenue represents revenue that the company has received but has not yet recognized because the related products or services have not been delivered. Therefore, an increase in deferred revenue typically indicates that the company has received more cash for future products or services, which can be a sign of growing demand and potential for future recognized revenue.
Given that specific figures for the last three years are not provided in the context, we can infer that if this pattern of increasing deferred revenue has been consistent over the past years, it is likely an indication of continuous revenue growth. However, without additional data from previous years, this conclusion is more speculative. Nevertheless, the increase in deferred revenue from September to December 2024 suggests a positive growth trend at least within that time frame.</t>
  </si>
  <si>
    <t>Based on the given trends over the past three years, the inference about revenue growth is that there has been steady growth in revenue. The company showed improvement each year, highlighting effective strategies and adaptation to market changes. This consistent upward trend suggests a successful expansion or increased market presence, likely driven by strategic investments, product innovation, or market demand.</t>
  </si>
  <si>
    <t>The company’s gross margin percentage has shown a slight increase from 45.9% in 2023 to 46.5% in 2024. This suggests a moderate improvement in operational efficiency as the company is able to retain more revenue as profit after the cost of goods sold.
### Breakdown:
- **Products Gross Margin**: Relatively flat, showing stability in the cost management for product-related sales.
- **Services Gross Margin**: Increased, suggesting better efficiency or higher pricing power in service-related offerings. The increase is attributed to higher services net sales and a different services mix.
Overall, the slight increase in the total gross margin percentage suggests the company is managing its costs effectively, improving efficiency, or benefiting from a favorable sales mix, especially in its services division.</t>
  </si>
  <si>
    <t>To evaluate how the company's gross margin has evolved and what this suggests about operational efficiency, we would need specific historical data on the company's gross margins over time. However, based on the given context, which indicates that gross margins may experience "volatility and downward pressure," it suggests a few potential scenarios:
1. **Volatility in Gross Margins:**
   - The gross margins might be fluctuating due to various factors, such as changes in demand, fluctuations in raw material costs, currency exchange rates, or other operational challenges. This volatility can indicate that the company is facing an unstable market environment or that its cost control measures are inconsistent.
2. **Downward Pressure:**
   - If gross margins are experiencing downward pressure, it suggests that the company might be encountering increased costs (e.g., higher service costs as mentioned) or pricing challenges that are not being fully offset by revenue increases. This pressure could indicate potential issues in maintaining competitive pricing strategies or in managing operational costs effectively.
**Operational Efficiency:**
- **Improved Efficiency:** If despite the downward pressures, the company manages to maintain or improve its gross margins over time, it would suggest improvements in operational efficiencies and effective cost management.
- **Declined Efficiency:** On the other hand, if the gross margins are declining, it could point to deteriorating operational efficiency. This could be due to failing to manage costs, inability to scale operations effectively, or external pressures on pricing that the company cannot mitigate through efficiency gains.
In summary, the mention of volatility and downward pressure on gross margins points towards potential challenges in maintaining operational efficiency, unless the company implements strategies to offset these pressures effectively. For a comprehensive analysis, reviewing the company's financial statements over multiple periods would provide more concrete insights into their operational efficiency trends.</t>
  </si>
  <si>
    <t>To evaluate the company's gross margin and its implications for operational efficiency:
1. **Gross Margin Trends:**
   - **2021**: 46.1%
   - **2022**: 47.3%
   - **2023**: 48.1%
2. **Analysis:**
   - **Improvement**: There has been a clear upward trend in the gross margin over these years.
   - **Operational Efficiency**: The increasing gross margin suggests enhanced operational efficiency. The company is either managing its production costs more effectively or increasing its pricing power, allowing it to retain more revenue as profit after covering the cost of goods sold.
3. **Implications:**
   - **Cost Management**: Improvement could indicate better cost management, such as negotiating better with suppliers or optimizing production processes.
   - **Pricing Power**: The ability to maintain or increase prices without losing customers can also contribute to a higher gross margin.
   - **Product Mix**: Shifting towards higher-margin products or services might be another strategic move reflected in these figures.
Overall, the evolution of the gross margin suggests that the company is on a positive trajectory regarding operational efficiency.</t>
  </si>
  <si>
    <t>To analyze the correlation between the company's investment in R&amp;D and its revenue growth, we look at the R&amp;D expenses and the total operating expenses.
### R&amp;D Spending:
- December 28, 2024: $8,286 million (7% of total net sales)
- December 30, 2023: $7,806 million (6% of total net sales)
### Revenue Growth Implication:
The increase in R&amp;D spending both in absolute terms ($480 million more in 2024) and as a percentage of total net sales (1% increase) suggests a strategic emphasis on innovation. R&amp;D investment is typically aimed at developing new products or improving existing services, which can drive future revenue growth.
### Analysis:
1. **Increased R&amp;D Spending**: The additional R&amp;D investment might indicate the company's focus on innovation, likely leading to future product launches or enhancements that can boost revenue.
2. **Impact on Revenue Growth**: While this document does not provide direct revenue figures, historically, increased R&amp;D investment often correlates with growth in high-tech companies. This correlation depends on how effectively the R&amp;D translates into successful products or services.
3. **Potential Future Growth**: If the R&amp;D efforts are successful, the company could see increased revenue growth, driven by new or improved offerings.
Conclusion: The increased R&amp;D spending relative to total net sales suggests a potential positive impact on future revenue, assuming effective utilization of these funds for innovation and marketable developments.</t>
  </si>
  <si>
    <t>To analyze the correlation between the company's investment in R&amp;D and its revenue growth based on historical trends, we would need access to data spanning several quarters or years, detailing both R&amp;D expenses and revenue figures. Typically, a higher investment in R&amp;D can indicate a focus on innovation and product development, which may drive future revenue growth. However, without specific historical data on revenue trends alongside R&amp;D investment, it's challenging to draw precise conclusions.
In general, if an increase in R&amp;D spending aligns with corresponding increases in net sales over time, this might suggest a positive correlation between R&amp;D investment and revenue growth. Conversely, if revenue growth does not follow increased R&amp;D spending, the correlation might be weak or even non-existent.
The information provided states that there has been an increase in research and development expenses driven by headcount and infrastructure costs, but it does not directly link these changes to revenue growth figures. Therefore, without additional historical revenue data, it is impossible to conclusively determine the correlation based solely on the context provided. If historical data indicate a pattern where increased R&amp;D spending leads to revenue growth, this would imply a positive correlation.</t>
  </si>
  <si>
    <t>Based on the document, RL3's investment in R&amp;D has a positive correlation with its revenue growth. The company consistently allocates a significant percentage of its revenue towards R&amp;D, and this investment strategy appears to drive innovation and product development. The data suggests that as R&amp;D spending increases, the company experiences corresponding growth in revenue. This trend indicates that R&amp;D investment is a critical factor in their business strategy, contributing to sustained revenue growth over time.</t>
  </si>
  <si>
    <t>Based on the trends in gross profit margin and net income from the provided financial data, here are some potential challenges for the company's future profitability:
1. **Stable Product Gross Margins**: The relatively flat product gross margin percentages suggest limited improvement in cost efficiency or pricing power for product sales. This stagnation may hinder profit growth if costs increase or if there is pressure to lower prices.
2. **Volatility in Service Gross Margins**: While service gross margins have improved, they are influenced by a change in service mix and higher sales. However, services are also subject to volatility and potentially high costs, which could impact overall profitability if expenses rise more than revenues.
3. **Increased Operating Expenses**: Both research and development (R&amp;D) and selling, general, and administrative (SG&amp;A) expenses have risen, driven by higher headcount-related and infrastructure-related costs. These increased expenses can squeeze net income if not matched by a proportional rise in revenue.
4. **Downward Pressure on Margins**: The note regarding susceptibility to margin volatility and downward pressure indicates potential risks in sustaining current gross margin levels. This could be due to increasing competition, cost inputs, or changes in market conditions.
5. **Risk of Increased Competition**: If competition intensifies, it could lead to reduced pricing power and increased need for investment in R&amp;D and marketing, further impacting margins.
6. **Dependency on Service Mix**: If the favorable service mix is not sustainable long-term, future service revenues may not compensate for any decline in product sales margins.
To mitigate these challenges, the company may need to focus on cost management, innovation, and strategic pricing while continuing to grow its high-margin services business.</t>
  </si>
  <si>
    <t>Based on the context provided, several potential challenges can be inferred for the company's future profitability:
1. **Volatility in Gross Margins**: The statement that gross margins are subject to volatility suggests that the company may face unpredictability in its profitability. This could arise from fluctuations in costs, pricing pressures, or market conditions.
2. **Downward Pressure on Margins**: The mention of downward pressure indicates that the company might experience a decline in gross profit margins. This could be due to rising costs (such as higher services costs) outpacing revenue growth, increased competition leading to price reductions, or a shift in the product/service mix towards lower-margin offerings.
3. **Higher Operating Expenses**: If operating expenses continue to rise without a corresponding increase in revenue, it could squeeze net income, even if gross margins are maintained.
4. **Risk Factors**: The reference to "Risk Factors" in the company's 10-K and 10-Q suggests that there are known risks that could negatively impact financial performance. These could include economic downturns, changes in consumer behavior, regulatory challenges, or supply chain disruptions.
Overall, maintaining profitability in the face of these challenges will likely require the company to manage costs effectively, optimize pricing and product strategies, and mitigate identified risks.</t>
  </si>
  <si>
    <t>Based on the trends in gross profit margin and net income from the provided report, there are several potential challenges that could impact the company's future profitability:
1. **Decreasing Gross Profit Margin**: 
   - If the gross profit margin is declining, it indicates rising costs of goods sold or reduced sales prices. This can lead to a squeeze on profitability unless offset by increased sales volume.
2. **Fluctuation in Net Income**:
   - Fluctuations or a downward trend in net income could suggest issues with managing operating expenses or external financial pressures. If costs aren’t managed effectively, this could further erode profitability.
3. **Increased Competition**: 
   - The market might be experiencing heightened competition, leading to pressure on pricing strategies and margins. The ability to maintain or grow market share while protecting margins is crucial.
4. **Rising Operational Costs**: 
   - If operational costs are increasing without a corresponding increase in revenue, this can further impact net income. Efficient cost management strategies need to be implemented.
5. **Economic Conditions**:
   - Adverse economic conditions could influence consumer spending and investment. Sensitivity to these factors could lead to unpredictable fluctuations in profitability.
6. **Supply Chain Issues**: 
   - Disruptions in the supply chain could affect both costs and the ability to deliver products efficiently, impacting revenue and margins.
7. **Technological Changes**:
   - Keeping up with technological advancements requires investment. Failing to innovate could result in competitive disadvantages affecting margins and profitability.
8. **Regulatory Changes**: 
   - Any changes in regulations that increase compliance costs or affect market operations could impact profitability.
Addressing these challenges would require strategic planning, focused cost control, innovations, and potentially diversifying the product offerings or customer base to cushion against these risks.</t>
  </si>
  <si>
    <t>The report highlights the following key risks:
1. **Compliance with Laws and Regulations**: The company faces challenges due to complex and evolving laws and regulations on antitrust, privacy, data security, intellectual property, and other areas.
2. **Operational and Cost Implications**: Changes in laws and regulations can increase costs, impact product offerings, and create uncertainty regarding compliance.
3. **Technology and Innovation Risks**: Introduction of new technologies, such as AI, requires navigating legal, regulatory, and ethical considerations. Failure to comply can affect reputation and financial condition.
4. **Mitigating Adverse Impacts**: The company faces challenges in adequately mitigating adverse impacts of regulatory changes on its business.
5. **Product Restrictions**: Regulatory changes can lead to restrictions or prohibitions on product importation, affecting operations and financial conditions.
6. **Intense Scrutiny in Technology Sector**: The company is subject to investigations, legal actions, and penalties, particularly in its technology and digital services.
7. **Digital Market Regulations**: Compliance with new regulations like the Digital Markets Act (DMA) in the EU poses additional risks, including possible significant fines and operational changes.</t>
  </si>
  <si>
    <t>To provide an accurate response, I would need access to the specific "Item 1A. Risk Factors" section of the report you are referring to. However, typically, the "Item 1A. Risk Factors" section of a report outlines various risks that could potentially impact the financial condition, operational performance, or future prospects of a company. These risks often include:
1. **Economic Risks:** Changes in the broader economy that could affect business operations.
2. **Industry Risks:** Risks specific to the industry in which the company operates.
3. **Operational Risks:** Challenges related to the company's operations, such as supply chain disruptions.
4. **Regulatory Risks:** Changes in laws and regulations that could impact the company's operations or profitability.
5. **Financial Risks:** Issues related to the company's financial management, including liquidity and credit risks.
6. **Market Risks:** Risks related to changes in market conditions, such as competition and demand fluctuations.
7. **Technological Risks:** Potential challenges related to technological advancements or cybersecurity threats.
8. **Environmental and Social Risks:** Risks associated with environmental policies and societal impacts.
If you can provide more specific details or excerpts from the report, I would be able to give a more tailored answer.</t>
  </si>
  <si>
    <t>The report mentions the following key risks:
1. **Financial Performance Risks**: Concerns about volatility in sales, profitability, and cash flows which could impact financial stability.
2. **Market Risks**: Includes competition and changes in consumer preferences that could affect market position and sales.
3. **Regulatory Risks**: Potential changes in regulations that could increase costs or restrict operations.
4. **Operational Risks**: Challenges related to supply chain management and potential disruptions.
5. **Technological Risks**: Risks associated with cybersecurity threats and the need for continuous technological innovation.
6. **Environmental Risks**: Impact of environmental regulations and the company's environmental footprint.
7. **Strategic Risks**: Risks from potential misalignments in business strategy or market expansion efforts.
8. **Reputation Risks**: Risks to brand reputation due to various factors, including social media impact and public perception. 
These risks are all integral to strategic planning and operational adjustments to mitigate potential negative impacts.</t>
  </si>
  <si>
    <t>In the report, the company articulates its competitive advantages through the following aspects:
1. **Business Seasonality and Product Introductions**: The company highlights its historical pattern of higher net sales in the first fiscal quarter due to seasonal holiday demand. This timing of high sales reflects a strategic advantage in capitalizing on consumer behavior.
2. **New Product Introductions**: By frequently launching new products, the company can boost sales and maintain consumer interest. The ability to anticipate and respond to market demand through innovative product releases serves as a strong competitive advantage.
3. **Indirect Distribution Channels**: The company effectively manages inventory and sales through its indirect distribution channels, ensuring new products are readily available and minimizing excess stock of older products.
4. **Macroeconomic Conditions**: While acknowledging macroeconomic impacts, the company implies resilience and strategic planning to mitigate these external factors affecting operations.
These elements collectively serve to strengthen the company’s market position and highlight its strategic foresight and operational efficiency.</t>
  </si>
  <si>
    <t>To determine how the company articulates its competitive advantages in the "Management’s Discussion and Analysis of Financial Condition and Results of Operations" section of a report, you should typically look for descriptions of the company’s strengths that differentiate it from competitors. These could include:
1. **Unique Products or Services**: The company might highlight any proprietary technology, patents, or unique features of its products/services that provide an edge over competitors.
2. **Market Position**: Discussion of a leadership position in certain markets or segments, which may suggest a competitive advantage due to brand recognition, customer loyalty, or scale.
3. **Cost Efficiency**: If the company has cost advantages, such as lower production costs, economies of scale, or supply chain efficiencies, these could be highlighted as competitive advantages.
4. **Innovation**: An emphasis on research and development capabilities and a strong track record of innovation might be presented as a key competitive advantage.
5. **Strategic Partnerships or Alliances**: Any important partnerships that enhance the company’s capabilities or market access could be considered a competitive advantage.
6. **Customer Base**: A diverse or particularly loyal customer base might be highlighted as a competitive advantage, especially if backed by strong customer service or satisfaction ratings.
7. **Talent and Human Resources**: The company may point to a strong team, unique company culture, or attractive employee benefit structures as a differentiator.
8. **Distribution Networks**: An extensive or particularly efficient distribution network might be mentioned as a key advantage over competitors.
Look for these elements in the narrative sections of the financial report where the company discusses its strategies and outlook, as they are likely to emphasize areas where it believes it holds competitive advantages.</t>
  </si>
  <si>
    <t>The company articulates its competitive advantages in several ways:
1. **Strong Brand and Market Position**: Highlighting its leadership position and brand recognition within the industry.
2. **Quality and Innovation**: Emphasizing a commitment to high-quality standards and continuous innovation in products and services.
3. **Customer Focus**: Stating a strong customer service approach and tailoring offerings to meet customer needs effectively.
4. **Operational Efficiency**: Mentioning cost-effective operations and efficient supply chain management practices.
5. **Diversified Product Portfolio**: Offering a wide range of products that cater to various segments of the market.
6. **Sustainability and Ethics**: Commitment to sustainable practices and ethical business operations.
These elements help the company differentiate itself from competitors and build a loyal customer base.</t>
  </si>
  <si>
    <t>The language used in the management discussion conveys the company's outlook for future growth in several ways:
1. **Forward-Looking Statements**: The document uses terms such as "expects," "believes," "anticipates," etc., which indicate a positive outlook for future performance, though it also highlights the uncertainty of such expectations.
2. **Business Seasonality and Product Introductions**: The mention of seasonal trends and new product launches suggests confidence in increased sales, particularly in the first quarter due to holiday demand and the introduction of new and updated products.
3. **Product Updates**: The announcement of new product updates (e.g., new versions of the MacBook Pro, Mac mini, etc.) implies an investment in innovation and a strategy to drive future growth.
4. **Macroeconomic Conditions**: The discussion acknowledges potential risks from macroeconomic factors, hinting at a cautious but forward-focused approach to navigate challenges and sustain growth.
Overall, the language indicates a balanced perspective, with optimism about leveraging product innovations and strategic timing to drive growth, while also being mindful of external economic factors.</t>
  </si>
  <si>
    <t>The language used in the management discussion typically conveys the company's outlook for future growth through the use of forward-looking statements. These statements are often characterized by words such as "anticipates," "believes," "estimates," "expects," "intends," "plans," "predicts," and "future." This terminology indicates that the company is thinking strategically about its growth prospects and has certain expectations or predictions about its future performance.
By using such language, the company communicates a sense of optimism and confidence in its strategic plans and market position. It suggests that the management is actively considering potential scenarios and is taking steps to navigate macroeconomic conditions to achieve growth objectives. This forward-looking language helps stakeholders understand the company's vision and its commitment to evolving and expanding in the coming years.</t>
  </si>
  <si>
    <t>The language in the management discussion suggests a positive outlook for future growth by emphasizing strategic initiatives, market opportunities, and strong financial performance. Key points include:
1. **Strategic Initiatives**: The company discusses plans to expand its offerings and improve operational efficiencies, indicating a proactive approach to growth.
2. **Market Opportunities**: There is mention of expanding into new markets, which suggests confidence in capturing additional market share.
3. **Financial Performance**: Positive financial metrics are highlighted, reinforcing a strong foundation for future growth.
4. **Innovation and Investment**: The focus on investing in technology and innovation suggests a commitment to staying competitive and driving future growth.
Overall, the language is optimistic, focusing on opportunities and strategic moves to enhance future performance.</t>
  </si>
  <si>
    <t>The company describes its competitive landscape as one involving intense media, political, and regulatory scrutiny, particularly in the technology industry. This exposes the company to risks such as increasing litigation, potential investigations, legal actions, and penalties. The company has made changes to its operations to comply with various laws, which can impact its business practices and customer engagement methods. Despite efforts to comply with regulations, the company faces significant fines and the possibility of enforced business modifications by jurisdictions seeking compliance or addressing privacy and security risks.</t>
  </si>
  <si>
    <t>The provided context does not contain specific information regarding the company's description of its competitive landscape. For details about how the company views its competitive environment, you may need to refer directly to other sections of its disclosures, such as its annual report, Form 10-K, or management's discussion and analysis within those documents.</t>
  </si>
  <si>
    <t>The company's competitive landscape includes traditional financial institutions, neobanks, and fintech companies. They emphasize their competitive edge in technology, customer experience, and cost-effectiveness. They also focus on their ability to innovate and adapt quickly to market changes, which they view as crucial in maintaining and expanding their market position.</t>
  </si>
  <si>
    <t>To mitigate the identified risks, especially related to compliance with changing laws and regulations, Apple's strategic approach could include:
1. **Enhanced Compliance Programs**: Implement robust systems to anticipate, monitor, and adjust to regulatory changes, utilizing AI-driven tools for predictive analysis.
2. **Strategic Collaborations**: Collaborate with regulatory bodies, industry groups, and compliance experts to stay ahead of legislative developments and share best practices.
3. **Legal and Ethical Strategy Reviews**: Regularly review and update legal strategies to ensure alignment with new laws and ethical standards, particularly in areas like antitrust and data privacy.
4. **Flexible Product Design**: Develop modular product designs that can be quickly adapted to meet different regulatory standards across regions.
5. **Increased Transparency**: Enhance transparency with customers and regulators to build trust and demonstrate proactive compliance efforts.
6. **Sustainability Initiatives**: Prioritize sustainability and environmental initiatives, anticipating stricter regulations in this area.
7. **Data Privacy Innovations**: Invest in cutting-edge data security technologies to pre-emptively address privacy concerns and reduce compliance risks.
8. **Dedicated Risk Management Team**: Expand the role of the risk management team to focus on forecasting regulatory trends and preparing contingency plans.
These strategies would require investment in technology, human resources, and continuous learning to adapt to the complex regulatory environment effectively.</t>
  </si>
  <si>
    <t>To mitigate the privacy and security risks introduced by the Digital Markets Act (DMA), several innovative strategies could be proposed:
1. **Enhanced Data Encryption**: Implement end-to-end encryption for all user data, ensuring that it remains secure both in transit and at rest. This would reduce the risk of data breaches and unauthorized access.
2. **Zero Trust Architecture**: Adopt a Zero Trust security model, where verification is required at every access point, even within the company’s own network. This approach minimizes risks by continuously authenticating user identities and monitoring device security postures.
3. **Artificial Intelligence and Machine Learning**: Utilize AI and machine learning to detect unusual patterns of behavior that may indicate security threats or potential breaches. Real-time analytics can help in automatically identifying and mitigating risks before they escalate.
4. **User Education and Transparency**: Develop comprehensive user education programs focused on privacy and security best practices, and enhance transparency regarding how data is handled and protected. Inform users of the specific measures taken to safeguard their data, bolstering trust and compliance with the DMA.
5. **Data Minimization and Anonymization**: Apply principles of data minimization to collect only what is necessary, and use robust anonymization techniques to protect user identities. This can help reduce the impact of any potential data leak.
6. **Third-Party Risk Management**: Implement stringent security standards for third-party developers and partners, including regular audits, to ensure they comply with the same high privacy and security standards. Develop a certification program for third-party apps to guarantee their compliance with privacy regulations.
7. **Regular Security Audits and Penetration Testing**: Conduct regular security audits and penetration testing to identify vulnerabilities and ensure that security measures are robust and up-to-date. Engage independent auditors to assess the compliance and effectiveness of security measures.
8. **Privacy-by-Design Principles**: Ensure that privacy and security considerations are embedded in the design and development of all products and services from the ground up, effectively making them fundamental components rather than afterthoughts.
9. **Robust Incident Response Plan**: Develop a comprehensive incident response plan that includes crisis communication strategies and measures to quickly contain and remediate any security incidents, thereby minimizing user impact.
10. **Collaboration with Regulatory Bodies**: Work closely with EU regulatory bodies to ensure compliance with the DMA and other privacy regulations, adapting strategies and technologies as necessary to stay ahead of emerging threats.
By implementing these strategies, Apple Inc. can mitigate the identified privacy and security risks introduced by the DMA, thereby protecting EU users and maintaining trust in its offerings.</t>
  </si>
  <si>
    <t>To mitigate the identified risks in CE1, consider the following innovative strategies:
1. **Diversified Supplier Network:**
   - Establish partnerships with multiple suppliers to ensure material availability and reduce dependency.
2. **Advanced Risk Management Software:**
   - Utilize AI-driven platforms for real-time risk assessment and predictive analytics to anticipate and mitigate potential disruptions.
3. **Enhanced Communication and Training:**
   - Foster a culture of openness and continuous training to improve response times and adaptability in crisis situations.
4. **Sustainable Practices:**
   - Implement sustainable material sourcing and production practices to align with regulatory demands and reduce environmental risks.
5. **Invest in Technology:**
   - Adopt blockchain for transparent supply chain tracking and IoT devices to monitor equipment health and performance.
6. **Flexible Financial Planning:**
   - Develop a dynamic financial strategy that includes contingency funds and flexible budgeting to absorb unforeseen costs.
7. **Scenario Planning and Simulations:**
   - Regularly conduct scenario-based planning and simulations to test response strategies and improve agility.
8. **Community and Stakeholder Engagement:**
   - Engage with local communities and stakeholders to build support networks and enhance resilience against social and environmental risks.
Combining these strategies can create a robust framework for mitigating identified risks and fostering long-term stability.</t>
  </si>
  <si>
    <t>Based on the document, the company (Apple Inc.) has announced updates to its product lines, including the MacBook Pro, Mac mini, iMac, and iPad mini. To capitalize on current market trends, Apple could consider the following innovative product or service developments:
1. **Enhanced AI Integration:**
   - Develop AI-driven features and applications that enhance user interaction across devices, leveraging machine learning to improve productivity, personalization, and accessibility.
2. **Focus on Sustainability:**
   - Introduce eco-friendly product lines with recyclable materials and energy-efficient designs to meet growing consumer demand for sustainable products.
3. **Expanded Services Ecosystem:**
   - Offer new subscription services such as health monitoring, virtual reality experiences, or educational platforms that integrate seamlessly with existing Apple devices.
4. **Augmented Reality (AR) Tools:**
   - Develop AR applications and hardware to provide immersive experiences for entertainment, gaming, and professional use, expanding beyond current AR capabilities.
5. **5G and Connectivity Innovations:**
   - Enhance connectivity features to support the increasing need for high-speed internet and seamless connectivity across devices.
These innovations align with trends in AI, sustainability, digital services, AR, and connectivity, potentially strengthening Apple's market position.</t>
  </si>
  <si>
    <t>To capitalize on current market trends, the company could develop a subscription-based online platform offering personalized shopping experiences using artificial intelligence (AI). As personalization becomes increasingly important to consumers, this platform could leverage AI to analyze consumer preferences and behavior, providing tailored product recommendations and exclusive seasonal bundles. This service could also feature virtual reality (VR) integration to offer immersive previews of products, particularly benefiting sectors like fashion, home decor, and electronics. By launching this platform in conjunction with popular holiday or seasonal trends, the company could boost first-quarter sales and maintain consumer engagement throughout the year.</t>
  </si>
  <si>
    <t>The company could focus on developing a personalized mobile app designed to support community building and social interaction within the camping industry. This app could leverage user-generated content, AI-driven recommendations, and mobile accessibility to enhance the camping experience. Features might include:
1. **Community Features**: Allow users to connect with fellow campers, share experiences, and participate in groups based on interests or locations.
2. **AI Recommendations**: Provide personalized camping trip suggestions based on user interests, past activities, and current trends.
3. **Content Sharing**: Facilitate sharing of photos, videos, and stories, promoting user engagement and organic content growth.
4. **Resource Hub**: Offer resources such as camping guides, safety tips, and gear recommendations, catering to various skill levels from beginners to experts.
5. **Sustainability Integration**: Incorporate features that promote eco-friendly practices and highlight sustainable camping locations and products.
By embracing these elements, the company can harness current market trends focused on personalization, social interaction, and sustainability, positioning itself as a leader in the digital camping space.</t>
  </si>
  <si>
    <t>To optimize the company’s capital structure, here are some creative financial strategies:
1. **Leverage Commercial Paper**: Increase the issuance of commercial paper to take advantage of low-interest rates for short-term financing. This can provide a cost-effective way to meet working capital needs without using long-term debt.
2. **Strategic Buybacks and Dividends**: Continue the share repurchase program to enhance shareholder value. Consider repurchasing shares during market dips for optimal impact. Adjust dividends to align with cash flow and strategic growth objectives.
3. **Foreign Tax Advantages**: Explore further opportunities to repatriate foreign earnings at favorable tax rates. Leverage foreign currency regulations to minimize tax liabilities and enhance net income.
4. **Asset-Light Partnerships**: Expand partnerships with manufacturers to minimize capital expenditure on facilities and equipment. This approach can reduce fixed assets on the balance sheet, improving return on assets.
5. **Green Financing Initiatives**: Issue green bonds or sustainability-linked loans, which often come with favorable interest rates. This can also enhance corporate reputation and appeal to ESG-focused investors.
6. **Dynamic Hedging Strategies**: Employ dynamic hedging to manage foreign exchange and interest rate risks, potentially reducing volatility in earnings and cash flow.
7. **Debt Restructuring**: Evaluate the existing debt portfolio for opportunities to refinance at lower interest rates. Extend the maturity profile of the debt structure to improve liquidity positions.
8. **Revenue-Linked Financing**: Consider revenue-linked or convertible bonds, which might offer more flexibility in cash flows and align debt service with financial performance.
These strategies can help balance growth initiatives, risk management, and shareholder value optimization.</t>
  </si>
  <si>
    <t>To optimize the company's capital structure, a creative financial strategy could involve the following components:
1. **Debt Refinancing and Rebalancing**: 
   - **Refinance Existing Debt**: The company could explore refinancing opportunities to take advantage of lower interest rates, thereby reducing overall interest expenses. This might involve either extending the maturity of existing debt or replacing it with lower-cost debt.
   - **Commercial Paper Utilization**: Strategically using commercial paper can offer the company flexibility with regard to short-term financing needs. This could involve increasing reliance on commercial paper to finance immediate working capital requirements while keeping an eye on interest rate movements to mitigate risks.
2. **Equity Infusion through Strategic Partnerships**: 
   - Entering into joint ventures or strategic alliances can provide access to additional capital without diluting existing shareholders significantly. This approach could also bring in operational synergies and increase market reach.
   - Consider issuing convertible bonds which can later be converted into equity. This could initially provide low-cost debt with the potential to convert into equity if the company's stock price performs well.
3. **Tax Optimization Strategy**: 
   - Leverage tax-efficient financial instruments or structures to reduce the effective tax rate. This might involve setting up operations in jurisdictions with favorable tax laws or taking advantage of tax credits and incentives related to R&amp;D or sustainable practices.
4. **Optimizing Working Capital Management**: 
   - Improving inventory management, renegotiating supplier contracts for better terms, and optimizing accounts receivable processes can free up cash and reduce the need for external financing.
5. **Share Buybacks and Dividend Policy**:
   - Implement a dynamic dividend policy that balances returning capital to shareholders and retaining cash for strategic investments or debt reduction. 
   - Utilize share buybacks during periods of undervaluation to enhance shareholder value and optimize the company's capital structure by reducing equity capital when advantageous.
6. **Sustainability-linked Financing**:
   - Embrace green bonds or sustainability-linked loans that provide lower interest rates contingent on achieving specific sustainability targets. This could not only optimize capital costs but also enhance the company's brand and meet rising investor demand for sustainable investments.
Implementing these strategies could allow the company to optimize its capital structure by balancing debt and equity in a manner that supports growth, minimizes costs, and maintains financial flexibility.</t>
  </si>
  <si>
    <t>To devise a creative financial strategy that optimizes the company’s capital structure, consider the following approach:
### 1. **Assessment of Current Capital Structure**
   - **Equity vs. Debt Mix**: Evaluate the current ratio of equity to debt.
   - **Interest Coverage**: Analyze the company's ability to cover interest expenses.
   - **Credit Rating**: Consider how current leverage impacts the company's credit rating.
### 2. **Leverage Optimization**
   - **Optimal Debt Level**: Determine an ideal leverage ratio by balancing tax benefits of debt with bankruptcy risks.
   - **Convertible Debt**: Use convertible bonds to lower interest rates while preserving flexibility for debt-to-equity conversion if the stock price appreciates.
### 3. **Equity Adjustments**
   - **Share Buybacks**: Consider strategic buybacks to reduce equity if excess cash flow is available, boosting EPS and share value.
   - **Equity Issuance for Acquisitions**: Issue new equity specifically for high-growth acquisitions, preserving current cash reserves and diluting less desirable forms of debt.
### 4. **Cost of Capital Reduction**
   - **Debt Refinancing**: Refinance existing high-interest debt with lower-interest debt in favorable market conditions.
   - **Tapping Into Diverse Financing**: Use instruments like preferred equity or mezzanine financing, combining elements of debt and equity at a lower cost.
### 5. **Risk Management and Hedging**
   - **Interest Rate Swaps**: Employ swaps to protect against interest rate fluctuations.
   - **Hedging Currency Risks**: Use currency swaps or options to hedge against foreign exchange risks if international exposure is significant.
### 6. **Strategic Investment and Divestment**
   - **Asset Optimization**: Divest non-core or underperforming assets to free up capital and enhance debt repayment capability.
   - **R&amp;D and Innovation Investment**: Allocate capital toward high-return projects that ensure sustainable growth.
### 7. **Maintaining Flexibility**
   - **Revolving Credit Lines**: Secure revolving credit facilities to provide liquidity without long-term obligations.
   - **Contingent Capital**: Use forms of financing that only become debt under specific conditions, enhancing flexibility.
### 8. **Stakeholder Communication**
   - **Transparent Reporting**: Maintain clear communication with shareholders and creditors regarding changes and strategies in capital structure.
Regular reviews and adjustments based on market conditions, corporate strategy, and performance metrics are crucial to maintain an optimal capital structure. This approach balances risk, return, and flexibility, serving the long-term interests of the company and its stakeholders.</t>
  </si>
  <si>
    <t>To improve financial performance, proposals could include:
1. **Product Innovation and Diversification**: Introduce new products or iterations to capture emerging markets and meet consumer needs.
2. **Market Expansion**: Explore new geographical markets or expand distribution channels to increase sales reach.
3. **Cost Management**: Optimize supply chain operations and production processes to reduce costs and improve margins.
4. **Strategic Partnerships**: Form alliances or partnerships to enhance market presence and technological capabilities.
5. **Seasonal Promotions**: Capitalize on high-demand periods with targeted marketing and promotions.
6. **Customer Engagement**: Enhance customer experience and retention through personalized services and loyalty programs.
7. **Risk Management**: Mitigate impacts of macroeconomic conditions through hedging strategies and diversified investments.
8. **Sustainability Initiatives**: Invest in sustainable practices to align with consumer preferences and regulatory trends.
9. **Digital Transformation**: Leverage digital tools for better data analytics, customer insights, and operational efficiencies. 
These strategies can help in adapting to market conditions and enhancing financial performance.</t>
  </si>
  <si>
    <t>To improve financial performance, several proposals can be considered:
1. **Cost Optimization**: Identify areas where operational costs can be reduced without compromising the quality of products or services. This could involve renegotiating supplier contracts, improving energy efficiency, or streamlining processes.
2. **Revenue Growth**: Develop strategies to increase sales, such as expanding into new markets, enhancing marketing efforts, launching new products or services, or improving customer retention through better customer service.
3. **Productivity Enhancement**: Invest in technology and training to improve workforce productivity. This can include automation of repetitive tasks, implementing new software to streamline operations, and employee development programs.
4. **Financial Management**: Strengthen financial management by improving cash flow, optimizing debt management, and reevaluating investment strategies to ensure they align with business goals.
5. **Strategic Partnerships**: Explore potential partnerships, mergers, or acquisitions that could open new revenue streams or improve competitive positioning.
6. **Innovation**: Foster a culture of innovation to create new business models or adapt existing ones to changing market conditions. Encourage research and development to stay ahead of industry trends.
7. **Risk Management**: Implement or strengthen risk management practices to minimize financial losses from unforeseen events. This includes diversifying the customer base and being proactive about regulatory changes.
8. **Sustainability Initiatives**: Invest in sustainable practices that can reduce long-term costs and align with consumer preferences toward responsible businesses.
Each proposal should be carefully evaluated to ensure it aligns with the company’s overall strategic goals and market conditions.</t>
  </si>
  <si>
    <t>Based on the document, several proposals can be made to improve financial performance for CE4:
1. **Increase Revenue**: Enhance sales through improved marketing strategies and entering new markets. Consider expanding product lines or upselling to existing customers.
2. **Cost Reduction**: Streamline operations to reduce waste and inefficiencies. Negotiate better terms with suppliers and explore cost-effective alternatives.
3. **Pricing Strategy**: Review pricing models to ensure competitiveness while maintaining margins. Implement dynamic pricing based on market conditions.
4. **Enhance Cash Flow**: Improve collection processes and terms for accounts receivable. Consider alternative financing options to maintain liquidity.
5. **Optimize Inventory**: Use advanced tools for inventory management to reduce holding costs and prevent stockouts.
6. **Invest in Technology**: Automate processes to increase productivity and use data analytics for better decision-making.
7. **Customer Retention and Acquisition**: Focus on customer satisfaction initiatives to retain existing customers and attract new ones.
8. **Financial Analysis**: Regularly conduct financial reviews to identify areas for potential improvement and track performance against benchmarks.
9. **Employee Efficiency**: Train employees to enhance skills and improve productivity, leading to better financial outputs.
By implementing these strategies, CE4 can potentially improve its financial performance sustainably.</t>
  </si>
  <si>
    <t>The total revenue for fiscal 2024 for the nine months ended September 30 is $251,651 million.</t>
  </si>
  <si>
    <t>The total cost of revenues for fiscal 2024 includes both TAC (Traffic Acquisition Costs) and other costs of revenues. To find the total cost of revenues for the nine months ended September 30, 2024, we add the TAC and other costs:
- TAC for 2024: $40,052 million
- Other cost of revenues for 2024: $65,641 million
Total cost of revenues for the nine months ended September 30, 2024 = $40,052 million + $65,641 million = $105,693 million.
However, to determine the total revenue for fiscal 2024, we would need information on gross revenue or any additional revenue data beyond just cost structure. The total cost of revenues gives a partial picture of the expenses but does not directly provide revenue figures. If there is any mention elsewhere in the fiscal report about total revenue or the markup over these costs, one would need that information to calculate total revenues accurately. Based purely on the provided figures, we can't deduce total revenue for fiscal 2024.</t>
  </si>
  <si>
    <t>The total revenue for fiscal 2024 was $101 billion.</t>
  </si>
  <si>
    <t>The reported net income for the three months ended September 30, 2023, is $19,689 million, and for the same period in 2024, it is $26,301 million.</t>
  </si>
  <si>
    <t>To determine the reported net income, we need to consider the allocation of distributed and undistributed earnings. The distributed earnings (cash dividends paid) are given as $0 in most instances, while the undistributed earnings are much more significant.
The total reported net income is primarily composed of the undistributed earnings, as the distributed part is often $0. Adding the values for the undistributed earnings:
- Year 1: $9,271
- Year 2: $1,369
- Year 3: $9,049
- Year 4: $19,689
- Year 5: $11,351
- Year 6: $1,678
- Year 7: $10,817
- Year 8: $23,846
Summing these values gives us the total reported net income, which represents the cumulative amount across these periods:
\[ 
9,271 + 1,369 + 9,049 + 19,689 + 11,351 + 1,678 + 10,817 + 23,846 = 87,070.
\]
Therefore, the reported net income is $87,070.</t>
  </si>
  <si>
    <t>The reported net income is $11,680.</t>
  </si>
  <si>
    <t>The total operating expenses for fiscal 2024 were $23,273 million.</t>
  </si>
  <si>
    <t>The total operating expenses for fiscal 2024 were $23,273.</t>
  </si>
  <si>
    <t>The total operating expenses for fiscal 2024 were $136,019,000.</t>
  </si>
  <si>
    <t>The company's cash and cash equivalents balance as of fiscal 2024 is $19,959 million.</t>
  </si>
  <si>
    <t>The company's cash and cash equivalents balance as of September 30, 2024, is $19,959 million.</t>
  </si>
  <si>
    <t>The company's cash and cash equivalents balance as of fiscal 2024 is $13,971 million.</t>
  </si>
  <si>
    <t>Based on the trends over the past three years from the table, we can infer:
1. **Revenue Growth**: There is a consistent increase in consolidated revenues, with a 15% growth from 2023 to 2024, indicating strong revenue growth.
2. **Operating Income**: There is a significant increase in operating income, up by 34%, suggesting improved operational efficiency or increased market demand.
3. **Net Income and EPS**: Both net income and diluted EPS have risen substantially (34% and 37% respectively), reflecting improved profitability.
Overall, the company appears to be experiencing healthy financial growth.</t>
  </si>
  <si>
    <t>Based on the data provided for the three months ended September 30, 2023, and 2024, the consolidated revenues have increased from $76,693 to $88,268, which represents an increase of $11,575 or 15%. Additionally, when adjusting for constant currency, the growth rate is 16%. This indicates a strong positive trend in revenue growth over this one-year period.
While you have provided data for only the past two years (2023 and 2024), the significant revenue increase suggests that the company has been experiencing robust growth, at least in the most recent year. If such a growth trend has been consistent over the previous year or two prior to 2023, it could indicate a pattern of sustained growth. However, without data from 2021 and 2022, we can only infer that the revenue growth between 2023 and 2024 is very strong, and if similar trends existed in prior years, the company would be on a solid growth trajectory.</t>
  </si>
  <si>
    <t>Based on the data provided in the image, the revenue growth over the past three years shows consistent increases year over year. This suggests a positive trend where the company has been successful in expanding its operations or product sales, potentially due to increased demand, successful marketing strategies, or expansion into new markets. The overall growth indicates that the company is on a positive trajectory financially.</t>
  </si>
  <si>
    <t>To understand the evolution of the company's gross margin and what it suggests about operational efficiency, we can look at the relevant figures:
1. **Revenues:**
   - 2023: $76,693 million
   - 2024: $88,268 million
   - Change: $11,575 million (15% increase)
2. **Cost of Revenues:**
   - 2023: $33,229 million
   - 2024: $36,474 million
   - Change: $3,245 million (10% increase)
3. **Gross Margin Calculation:**
   - Gross Margin = (Revenues - Cost of Revenues) / Revenues
   - 2023 Gross Margin = ($76,693 - $33,229) / $76,693 = 56.7%
   - 2024 Gross Margin = ($88,268 - $36,474) / $88,268 = 58.7%
**Analysis:**
- The gross margin increased from 56.7% in 2023 to 58.7% in 2024.
- The gross margin improvement suggests operational efficiency as the company managed to increase revenues by 15% while keeping the cost of revenues’ growth to 10%.
- This indicates effective cost control and a likely increase in productivity, contributing to a better utilization of resources.
Overall, the increase in gross margin suggests that the company is improving its operational efficiency.</t>
  </si>
  <si>
    <t>The context provided does not explicitly mention the company's gross margin, so we cannot directly assess how it has evolved. However, we can make some inferences based on the available data regarding operating income, operating expenses, and operating margin.
The operating income increased from $21,343 to $28,521, which represents a growth of $7,178 or 34%. Additionally, the operating margin improved from 28% to 32%, showing an increase of 4 percentage points. Operating expenses marginally grew by $1,152 or 5%, from $22,121 to $23,273.
These changes suggest that the company has become more operationally efficient. The substantial increase in operating income and improvement in operating margin, despite only a small increase in operating expenses, indicate that the company is generating more revenue relative to its costs. This likely means the company has been able to better control costs, increase sales, or both, which points to enhanced operational efficiency.
Without the gross margin figures, it's not possible to comment directly on that aspect, but the operation-related data suggests positive trends in the company's overall efficiency.</t>
  </si>
  <si>
    <t>To assess how the company's gross margin has evolved and what this suggests about operational efficiency, let's first understand the data:
1. **Gross Margin Trend**:
   - In 2020, the gross margin was 36%.
   - In 2021, it increased to 38%.
   - In 2022, it rose further to 39%.
2. **Implications for Operational Efficiency**:
   - **Increasing Margin**: The steady increase in gross margin over the years indicates an improvement in operational efficiency. This could be due to lower production costs, higher pricing power, or improved sales mix.
   - **Cost Management**: The company might have been successful in controlling its cost of goods sold (COGS) relative to its revenue growth, leading to better margins.
   - **Value Proposition**: An improvement in gross margin can also suggest that the company is successful in maintaining or enhancing its value proposition, which allows it to charge premium prices or sell higher-margin products.
Overall, the upward trend in gross margin suggests an enhancement in the company’s operational efficiency and effectiveness in managing production costs.</t>
  </si>
  <si>
    <t>The data shows both R&amp;D expenses and revenue growth over time, with R&amp;D as a percentage of revenues slightly decreasing from 15% to 14% from 2023 to 2024.
Key insights:
1. **R&amp;D Spending**: R&amp;D expenses increased from $11,258 million to $12,447 million in the three months ending September 2023 to 2024, and from $33,314 million to $36,210 million in the nine months ending the same period.
2. **Revenue Growth**: Total cost of revenues as a percentage decreased slightly from 43% to 41% for the three-month period, and from 43% to 42% for the nine-month period.
3. **Correlation Insights**: Although the direct correlation isn't explicitly provided, historically, consistent investment in R&amp;D often supports revenue growth through innovation and new product development, even if the percentage of revenue allocated to R&amp;D decreases slightly.
These trends suggest active investment in R&amp;D, alongside controlled cost of revenues, can potentially support sustained revenue growth.</t>
  </si>
  <si>
    <t>Based on the provided data, the company's research and development (R&amp;D) expenses have increased from 2023 to 2024, both for the three-month and nine-month periods ending September 30. However, R&amp;D expenses as a percentage of revenues have decreased from 15% to 14%. This suggests that while the company is increasing its absolute investment in R&amp;D, its revenues are growing at a faster rate than R&amp;D expenses. Thus, historically, the company's revenue growth outpaces the growth in R&amp;D spending, indicating an efficient use of R&amp;D investment relative to revenue increases.</t>
  </si>
  <si>
    <t>To determine the correlation between the company's investment in R&amp;D and its revenue growth from the document:
1. **R&amp;D Investment Trends**: 
   - Review any charts or data that show the company's R&amp;D spending over several years.
   - Look for patterns or trends in the amount invested and any changes year over year.
2. **Revenue Growth Trends**:
   - Identify graphs or sections detailing the company's revenues over the same period.
   - Note fluctuations or consistent growth rates.
3. **Correlation Analysis**:
   - Compare the trends in R&amp;D investment with those in revenue growth.
   - Check if periods of increased R&amp;D spending correspond with significant growth in revenue.
   - Look for any analysis mentioned in the text that may discuss this relationship.
If there are graphs or quantitative data provided, a visual inspection or statistical analysis would illustrate the correlation more effectively.</t>
  </si>
  <si>
    <t>The note highlights several potential challenges that could impact the company's future profitability:
1. **Revenue and Margin Fluctuations**: Continuous changes in revenues and margins due to various business factors could pose challenges.
2. **Traffic Acquisition Costs (TAC)**: Fluctuations in TAC could affect overall margins negatively.
3. **Monetization and Advertising Trends**: Variability in monetization trends, including paid clicks and impressions, can lead to inconsistent revenues and margins.
4. **International Market Performance**: The influence of international market dynamics and economic conditions could affect results.
5. **Foreign Exchange Risks**: Foreign exchange fluctuations may not be fully offset, affecting profitability.
6. **Investment and Capital Expenditure**: Increasing capital expenditures for technical infrastructure and new ventures could strain financial resources.
7. **Cost Increases**: Rising costs in R&amp;D, sales, and general expenses as a percentage of revenue pose a risk to profit margins.
8. **Regulatory and Legal Challenges**: Potential legal proceedings and heightened regulatory scrutiny could impact operations and profitability.
These factors indicate that the company needs to manage costs effectively and navigate market dynamics and regulatory landscapes to maintain profitability.</t>
  </si>
  <si>
    <t>Based on the context provided, several potential challenges for the company's future profitability can be inferred:
1. **Market Dynamics**: The phrase "driven by market dynamics" suggests that external market conditions could impact the company's profitability. This could include changes in consumer behavior, increased competition, or shifts in demand for their products or services.
2. **Increasing Tax Rates and Payments**: The expectation of higher effective tax rates and cash tax payments in the future could reduce net income, thereby impacting overall profitability. As taxes represent a significant expense, any increase would directly affect the bottom line.
3. **Seasonal Fluctuations**: The mention of seasonal fluctuations in internet usage and advertiser expenditures indicates potential volatility in revenue streams. Traditional retail seasonality could lead to periods with lower sales, affecting quarterly results and creating challenges in maintaining a steady profit margin throughout the year.
4. **Sufficiency of Funding Sources**: Concerns about the sufficiency of funding sources imply potential cash flow issues. A lack of adequate funding can restrict the company's ability to invest in growth opportunities or manage day-to-day operations efficiently, negatively affecting profitability.
5. **Legal and Regulatory Exposures**: The potential exposure due to new and pending investigations or proceedings presents a risk of financial penalties, increased legal expenses, or reputational damage. These factors could have adverse effects on the company's profitability.
Overall, these challenges highlight the need for strategic planning to mitigate risks and capitalize on market opportunities to maintain and improve future profitability.</t>
  </si>
  <si>
    <t>Based on the trends in gross profit margin and net income as seen in the RL4 chart, here are some potential challenges the company might face regarding future profitability:
1. **Decreasing Gross Profit Margin**:
   - **Pricing Pressure**: If the gross profit margin is decreasing, it might indicate pricing pressure where the company is forced to lower prices to remain competitive.
   - **Increasing Costs**: Rising costs of goods sold without corresponding sales price increases can shrink margins, such as higher material or labor costs.
2. **Stagnant or Declining Net Income**:
   - **Increased Operating Expenses**: Growing operating expenses can erode net income, even if revenue grows.
   - **Interest and Tax Burdens**: Rising interest expenses or higher tax rates can reduce net profitability.
   - **Ineffective Cost Management**: Poor management of administrative or sales expenses can lead to lower income levels.
3. **Market Competition**:
   - Intense competition might force the company to spend more on marketing and sales, impacting net profitability.
4. **Economic Conditions**:
   - Economic downturns can affect consumer spending and demand, leading to lower sales volumes and profits.
5. **Product Mix**:
   - A shift towards lower-margin products might also impact profitability negatively.
6. **Innovation and Technology Costs**:
   - Rising costs related to technology adoption or product development can weigh heavily on profit margins if not carefully managed.
Addressing these challenges will require strategic pricing, cost management, and potentially exploring new markets or product innovations to sustain profitability.</t>
  </si>
  <si>
    <t>The key risks mentioned in the report include:
1. Factors that could cause or contribute to differences in expectations, such as those discussed in the company's quarterly and annual reports under sections like "Risk Factors."
2. Risks and uncertainties related to forward-looking statements regarding future operations, financial condition, prospects, and business strategies.
3. Potential changes in business environment affecting the company's financial performance and operational metrics.
It recommends caution in placing undue reliance on these forward-looking statements due to potential variances in actual outcomes.</t>
  </si>
  <si>
    <t>I'm sorry, but I'm unable to access the specific content of the report mentioned. To identify the key risks mentioned in the "Risk Factors" section of the Annual Report on Form 10-K or the Quarterly Reports on Form 10-Q, you would need to refer directly to those documents. Typically, these reports include risks related to market conditions, regulatory changes, operational challenges, financial performance, and other factors that could impact the organization's business. If you have access to the document, you can look for headings or sections that list these risks in detail.</t>
  </si>
  <si>
    <t>The key risks mentioned in the report include:
1. **Environmental Risks**:
   - Extreme weather events.
   - Natural disasters.
   - Rising sea levels.
   - Biodiversity loss and ecosystem collapse.
2. **Economic Risks**:
   - Economic confrontations between major powers.
   - Asset bubbles in large economies.
   - Fiscal crises.
3. **Geopolitical Risks**:
   - Geopolitical tensions.
   - State collapse or crisis.
   - Failure of regional or global governance.
4. **Societal Risks**:
   - Infectious diseases.
   - Water crises.
   - Food crises.
5. **Technological Risks**:
   - Cyberattacks.
   - Breakdown of critical information infrastructure.
Each of these risks is accompanied by potential impacts and challenges that need to be addressed proactively.</t>
  </si>
  <si>
    <t>The report mentions several ways Alphabet Inc. articulates its competitive advantages:
1. **Expected Timing and Impact**: Discussion on the timing and impact of share repurchases and dividends.
2. **Long-term Sustainability and Diversity Goals**: Emphasis on sustainability and diversity as key strategic priorities.
3. **Forward-Looking Statements**: Usage of anticipatory statements reflecting confidence in future operations, financial conditions, and business strategies.
4. **Risk Management**: Analyzing and identifying potential risks, suggesting a robust risk management framework to safeguard competitive advantages.
5. **Brand Trademarks**: Highlighting ownership and strategic use of trademarks such as "Alphabet" and "Google" which are crucial to brand identity and market positioning.
These points indicate Alphabet Inc.'s confidence in its strategic direction and operational resilience.</t>
  </si>
  <si>
    <t>To determine how the company articulates its competitive advantages, you would need to review the specific sections of the report where Alphabet Inc. discusses its business strategies, operations, and market positioning. While I don't have direct access to the document itself, companies typically highlight their competitive advantages in several key areas, which might be reflected in how Alphabet expresses its strengths:
1. **Technological Innovation**: Alphabet often emphasizes its leadership in technology and innovation, driven by its extensive research and development efforts and its ability to attract top talent in the tech industry.
2. **Diverse Portfolio**: The company may articulate advantages stemming from its diverse range of products and services, from search and advertising to cloud computing and other emerging technologies, which provide multiple revenue streams and resilience to market fluctuations.
3. **Scale and Reach**: Alphabet's massive global user base across its platforms like Google Search, YouTube, and Android can be highlighted as a significant competitive edge in terms of user data and engagement.
4. **Brand Strength**: The strength and recognition of the Google brand, as well as the customer trust and loyalty associated with it, could be presented as a major advantage.
5. **Sustainability Initiatives**: As noted in the context, Alphabet might discuss its long-term sustainability goals as a competitive advantage, appealing to environmentally-conscious consumers and investors and differentiating itself from competitors.
6. **Artificial Intelligence Leadership**: The company is likely to underscore its advancements and investments in AI and machine learning, positioning itself at the forefront of technological advancements in these fields.
Reviewing the report would enable a more detailed understanding of how these aspects and others are articulated as competitive advantages by Alphabet Inc.</t>
  </si>
  <si>
    <t>The company articulates its competitive advantages in several ways within the report:
1. **Comprehensive Financial Services**: It highlights its diverse range of financial services, emphasizing its ability to integrate products and services to meet customer needs effectively.
2. **Solid Capital Position**: The company mentions its strong capital base, which allows it to operate efficiently and pursue growth opportunities while maintaining stability.
3. **Distribution Channels**: The report identifies its wide network of distribution channels and its ability to reach a broad customer base as a competitive edge.
4. **Technological Investment**: The company points out its investment in technology to enhance operational efficiency and improve customer experience.
5. **Risk Management**: There is emphasis on robust risk management practices that safeguard the company’s assets and uphold its reputation.
6. **Brand Strength and Reputation**: The report discusses its strong brand recognition and reputation in the industry as key competitive advantages.
7. **Customer Focus**: It underscores a strategic focus on customer satisfaction and loyalty, aiming to offer personalized solutions to retain and grow its client base. 
These components collectively form the foundation of the company’s competitive strategy as articulated in the report.</t>
  </si>
  <si>
    <t>The language in the management discussion employs a cautious and strategic tone to convey the company's outlook for future growth. Key elements include:
1. **Expectation Statements**: The repeated use of "our expectation" highlights anticipated areas of growth, such as the shift to online operations, increased revenue from non-advertising sources, and capital expenditures for technical infrastructure.
2. **Uncertainty Acknowledgment**: Phrases like "could affect" and "will fluctuate" acknowledge potential risks and uncertainties, indicating a realistic and measured approach to forecasting.
3. **Focus on Innovation**: Mention of investing in AI and new products suggests a forward-looking strategy focused on innovation and technological advancement.
4. **Global Considerations**: References to international markets and foreign exchange risks indicate an awareness of global influences on growth potential.
5. **Strategic Investment**: Plans for strategic investments and acquisitions support a vision of expanding and enhancing business capabilities.
6. **Risk Management**: Discussion of tax rates, regulatory scrutiny, and market dynamics suggests a proactive approach to navigating challenges that may impact future growth.
Overall, the language balances optimism about growth opportunities with a careful consideration of potential challenges, conveying a comprehensive outlook on the company's future.</t>
  </si>
  <si>
    <t>To analyze how the language in the management discussion conveys the company's outlook for future growth, we should focus on the tone and specific wording used in the forward-looking statements. Typically, companies aim to communicate optimism about their future prospects while also addressing potential uncertainties and risks. Here's how such language can convey the company's outlook for future growth:
1. **Positive Tone**: The use of positive and confident language, such as "growth," "success," and "expectations," suggests that the company is optimistic about its future performance and revenue growth. This tone can instill confidence in investors and stakeholders about the company's potential.
2. **Factors of Success**: By mentioning "factors that influence our success," the company signals that it has identified key drivers of growth and is considerate of the elements that will contribute to achieving its business objectives. This reflects a targeted and strategic approach to growth.
3. **Awareness of Trends**: The discussion of "trends in our business" indicates that the company is monitoring market trends and adapting its strategies accordingly. This adaptability is crucial for sustaining growth, as it shows awareness and responsiveness to external and internal factors.
4. **Acknowledgment of Uncertainty**: References to "fluctuations" in revenues and margins imply an understanding of potential variability in financial performance. By acknowledging these fluctuations, the company is portraying a realistic outlook, preparing stakeholders for possible ups and downs while focusing on long-term growth.
Overall, the language combines optimism with a realistic assessment of risks, presenting a balanced view of the company's growth trajectory and its commitment to managing influencing factors proactively.</t>
  </si>
  <si>
    <t>The language used in the management discussion conveys the company's outlook for future growth through several strategies:
1. **Positive Tone**: The use of words like "growth" and "increase" suggests optimism about future prospects.
2. **Strategic Initiatives**: The discussion highlights specific plans, such as launching new products, expanding into new markets, or improving operational efficiency, indicating a proactive approach to growth.
3. **Financial Metrics**: Mentioning past financial successes or stable performance builds confidence in the company's ability to sustain growth.
4. **Market Opportunities**: References to industry trends or market conditions that are favorable can indicate potential areas for expansion.
5. **Innovation and Investment**: Emphasis on research and development or capital investments suggests a commitment to driving future growth through innovation.
6. **Risk Management**: Addressing potential risks and how they will be managed can reassure stakeholders about the company’s preparedness for future challenges.
Overall, the language is designed to instill confidence in stakeholders about the company's trajectory and ability to achieve future success.</t>
  </si>
  <si>
    <t>I'm unable to directly identify how the company describes its competitive landscape from this page. For detailed information, you would need to look for relevant sections in the document, possibly under headings like "Market Overview," "Industry Dynamics," or "Competitive Analysis."</t>
  </si>
  <si>
    <t>The provided context does not contain specific information regarding how the company describes its competitive landscape. To find this information, one would need to review additional sections of the company's Quarterly Report on Form 10-Q or other relevant documents where the company discusses its competitive environment.</t>
  </si>
  <si>
    <t>The company describes its competitive landscape as fragmented and rapidly evolving. It mentions facing competition from both established companies and new market entrants. The industry is characterized by significant technological advancements and the need for continuous innovation to maintain a competitive edge. The company also highlights the importance of adapting to changing consumer preferences and regulatory requirements. Additionally, it emphasizes the need for significant investment in research and development to stay ahead in the market.</t>
  </si>
  <si>
    <t>To propose innovative strategies for mitigating identified risks based on the forward-looking statements in the document, consider the following approaches:
1. **Diversified Investments**:
   - **Expand Product Offerings**: Develop or acquire new products and services to diversify revenue streams and reduce dependency on existing offerings.
   - **Geographical Expansion**: Enter emerging markets to capture growth opportunities and reduce reliance on established markets.
2. **Technological Innovation**:
   - **Invest in R&amp;D**: Increase investment in research and development to stay ahead of technological trends and disruptions.
   - **AI and Automation**: Leverage artificial intelligence and automation to improve efficiency and reduce operational risks.
3. **Risk Management Enhancements**:
   - **Scenario Planning**: Implement advanced scenario planning techniques to better anticipate and mitigate various risk factors.
   - **Dynamic Risk Assessment**: Regularly update risk assessments to reflect current market conditions and emerging risks.
4. **Sustainability Initiatives**:
   - **Green Technologies**: Invest in sustainable and environmentally friendly technologies to address regulatory risks and appeal to environmentally conscious consumers.
   - **Carbon Neutral Goals**: Set ambitious goals for reducing carbon footprints to mitigate environmental compliance risks.
5. **Strategic Partnerships and Alliances**:
   - **Collaborate with Innovators**: Form partnerships with startups and technology innovators to foster new ideas and solutions.
   - **Cross-Industry Alliances**: Engage in cross-industry collaborations to explore new business models and reduce market risks.
6. **Regulatory Compliance**:
   - **Proactive Engagement**: Develop proactive strategies for engaging with regulators and policymakers to anticipate and influence regulatory changes.
   - **Compliance Training**: Enhance compliance and ethics training programs to ensure adherence to legal and regulatory standards.
7. **Data Security and Privacy**:
   - **Strengthen Cybersecurity**: Invest in advanced cybersecurity measures to protect against data breaches and cyber threats.
   - **Privacy Enhancements**: Improve data privacy measures to comply with global data protection regulations.
By implementing these strategies, the company can better prepare for future challenges and uncertainties.</t>
  </si>
  <si>
    <t>To propose innovative strategies for mitigating identified risks in the context of an annual or quarterly report, it's essential to consider the type of risks outlined in the "Risk Factors" section. Although I don't have the specific risks listed in your report, I can suggest general innovative approaches that corporations often adopt to manage common risk categories:
1. **Market and Economic Risks:**
   - *Diversification of Revenue Streams:* Innovate by exploring new markets or sectors to reduce dependency on a single source of income.
   - *Predictive Analytics:* Leverage machine learning and AI to forecast market trends and customer behavior, enabling proactive adjustments to strategies.
2. **Operational Risks:**
   - *Automation and AI:* Implement robotic process automation (RPA) to streamline operations, reduce error rates, and enhance efficiency.
   - *Supply Chain Resilience:* Develop a dynamic supply chain that utilizes real-time data and blockchain technology to increase transparency and adapt to disruptions.
3. **Regulatory and Compliance Risks:**
   - *RegTech Solutions:* Adopt regulatory technology to automate compliance tasks, ensuring that the company keeps pace with changing regulations in a cost-effective manner.
   - *Continuous Training Programs:* Use virtual reality platforms for immersive training sessions to ensure employees are regularly updated on compliance and regulatory standards.
4. **Cybersecurity Risks:**
   - *Zero Trust Architecture:* Innovate the security framework by implementing a zero-trust model that assumes breaches will occur and protects company assets accordingly.
   - *Blockchain Security Measures:* Utilize blockchain technology to secure sensitive transactions and data through decentralized approaches.
5. **Reputation and Strategic Risks:**
   - *AI-Driven Reputation Management:* Use AI tools to monitor social media and other platforms in real-time for brand mentions, enabling rapid response to potential reputation threats.
   - *Customer Co-creation Initiatives:* Engage customers in product or service development through crowdsourcing and co-creation platforms to improve satisfaction and brand loyalty.
6. **Environmental and ESG Risks:**
   - *Sustainable Innovations:* Invest in R&amp;D for sustainable products or processes that reduce environmental impact and align with ESG goals.
   - *Green Finance Strategies:* Explore financing options that reward sustainable business practices, such as green bonds or ESG-linked loans.
These strategies should be tailored to the specific circumstances and risks identified by your organization. Additionally, close collaboration with cross-functional teams will ensure comprehensive risk management that aligns with strategic goals.</t>
  </si>
  <si>
    <t>To propose innovative strategies for mitigating the identified risks, we need to address each risk area specifically listed in the document. Here’s a broad outline of potential strategies:
1. **Market Fluctuations**:
   - Implement advanced predictive analytics and AI to forecast market trends and react proactively.
   - Diversify investments to spread risk across various sectors and geographies.
2. **Operational Risks**:
   - Utilize process automation and robotics to minimize human error.
   - Develop a robust risk management framework that includes regular audits and monitoring.
3. **Compliance and Regulatory Risks**:
   - Invest in compliance software that uses machine learning to adapt to new regulations.
   - Offer continuous training programs for employees on the latest compliance requirements.
4. **Financial Risks**:
   - Employ financial modeling and simulations to assess potential impacts before major investments or changes.
   - Build an agile financial strategy that allows for quick adjustments in response to market changes.
5. **Technological Risks**:
   - Strengthen cybersecurity measures using AI-driven threat detection systems.
   - Encourage a culture of innovation where continuous technological updates and learning are prioritized.
6. **Environmental and Social Risks**:
   - Establish partnerships with NGOs and community groups to ensure alignment with social and environmental goals.
   - Invest in projects and technologies that enhance sustainability and social responsibility.
7. **Supply Chain Risks**:
   - Adopt blockchain technology for greater transparency and traceability within the supply chain.
   - Develop contingency plans with multiple suppliers to ensure resilience against disruptions.
8. **Reputational Risks**:
   - Engage in ethical business practices and transparent communication with stakeholders.
   - Implement a crisis management plan that includes reputation safeguarding protocols.
These strategies should be tailored to fit the specific needs and context of the organization, with regular reviews to adapt to new challenges and opportunities.</t>
  </si>
  <si>
    <t>Based on the document's emphasis on AI and online trends, Alphabet Inc. could consider developing innovative AI-driven solutions or services. Here are a few ideas:
1. **AI-Powered E-commerce Platform**: Enhance user experience by integrating advanced AI algorithms for personalized shopping, virtual try-ons, and augmented reality features.
2. **AI Digital Marketing Tools**: Create tools that leverage AI to optimize advertising campaigns, improve targeting, and provide real-time analytics for businesses.
3. **Cloud-Based AI Services**: Expand cloud offerings with specialized AI tools for data analysis, machine learning, and business intelligence tailored for various industries.
4. **Smart Home Solutions**: Develop AI-powered devices or applications that integrate seamlessly with existing smart home systems to enhance automation and security.
5. **Virtual Collaboration Platforms**: Build platforms that use AI to improve remote work efficiency, such as virtual meeting assistants, collaboration tools, and project management software.
These products can capitalize on the ongoing shift to online services and strategic investments in AI.</t>
  </si>
  <si>
    <t>Based on the given context, the company could develop an AI-driven platform that leverages machine learning and big data analytics to offer personalized insights and automation solutions for businesses. This platform could be designed to help companies optimize their operations, enhance customer experiences, and improve decision-making processes. By integrating advanced AI technologies, the platform could provide tools for predictive analytics, natural language processing, and real-time data visualization, which are in high demand across various industries.
Additionally, to capitalize on current market trends such as remote work and digital transformation, the company could introduce intelligent collaboration tools powered by AI. These tools could enhance productivity by offering features like smart scheduling, virtual assistants, and automated task management, catering to the increasing need for efficient remote work solutions.
By focusing on these innovative products and services, the company can align with current market demands while leveraging its commitment to investing in new technologies and systems as described in the context.</t>
  </si>
  <si>
    <t>Based on the case study analysis, a potential innovative product or service for the company could be developing an AI-driven educational platform. This platform would offer personalized learning experiences incorporating augmented reality (AR) and virtual reality (VR) for interactive and immersive educational content. By targeting the growing demand for remote and hybrid educational solutions, this product could capitalize on current trends in digital transformation and online learning. Additionally, integrating advanced analytics could provide insights for educators to tailor their teaching methods and improve learning outcomes.</t>
  </si>
  <si>
    <t>To optimize the company’s capital structure, consider the following creative financial strategy:
### Strategy: Hybrid Financing and Strategic Buybacks
#### 1. **Hybrid Securities Issuance**
   - **Convertible Bonds:** Issue convertible bonds that can be converted into equity. This can provide lower interest rates compared to traditional debt, offering capital cost savings while preparing for potential equity dilution if converted.
   - **Preference Shares:** Introduce preference shares with a fixed dividend. This maintains flexibility in cash flow management since dividends can be cumulative, unlike debt obligations.
#### 2. **Strategic Share Buybacks**
   - With the existing buyback program, continue repurchasing shares when market prices are undervalued to optimize capital utilization and enhance shareholder value.
   - **Timing Optimization:** Use data analytics to identify stock price dips or market undervaluation periods to execute buybacks more strategically.
#### 3. **Leveraging Low-Interest Debt**
   - **Refinancing Existing Debt:** Take advantage of current low-interest-rate environments to refinance existing debt, reducing interest expenses.
   - **Reallocate Debt Proceeds:** Utilize freed-up cash from refinancing to invest in high-growth projects or further equity buybacks.
#### 4. **Profit Reinvestment Strategy**
   - Prioritize reinvestment of net profits into high-return projects or R&amp;D to boost long-term growth prospects, strengthening the overall equity base.
#### 5. **Dynamic Dividend Policy**
   - **Performance-Based Dividends:** Implement a dividend policy linked to key performance metrics, making dividends more sustainable and adaptable to fluctuating financial conditions.
#### 6. **Hedging and Risk Management**
   - Utilize financial instruments to hedge against interest rate fluctuations and currency risks, safeguarding the capital structure from external volatility.
#### 7. **Stakeholder Engagement and Transparency**
   - Enhance communication with investors about the company’s financial strategy and its impact on capital structure to improve investor confidence and stock value.
This comprehensive strategy aims to create a balanced mix of debt and equity, potentially lowering the weighted average cost of capital (WACC), improving financial flexibility, and maximizing shareholder returns.</t>
  </si>
  <si>
    <t>To optimize the company's capital structure, a creative financial strategy could involve a mix of debt financing, equity restructuring, and strategic partnerships. Here’s a detailed proposal:
1. **Leverage Debt Financing:**
   - *Issue Long-Term Bonds:* Take advantage of the current low-interest rate environment to issue long-term bonds. This can provide the company with immediate capital while locking in low borrowing costs.
   - *Revolving Credit Facility:* Establish a revolving credit facility to provide flexibility in managing short-term liquidity needs without committing to long-term debt.
2. **Equity Optimization:**
   - *Stock Buyback Program:* Initiate a stock buyback program to utilize excess cash reserves, thereby reducing outstanding shares and potentially increasing earnings per share (EPS), which can enhance shareholder value.
   - *Strategic Equity Issuance:* Consider issuing new equity only when the market conditions are favorable (i.e., the stock is overvalued), using the proceeds to pay down expensive debt or invest in high-return projects.
3. **Hybrid Securities:**
   - *Convertible Bonds or Preferred Shares:* Issue convertible bonds or preferred shares to investors, which blend elements of both debt and equity. This provides lower interest expenses compared to straight debt and allows conversion to equity if the company performs well.
4. **Strategic Alliances and Partnerships:**
   - *Joint Ventures and Partnerships:* Form strategic alliances or joint ventures with other companies to share resources and risks. This can lead to operational synergies and open new revenue streams without additional capital expenditure.
   - *Revenue Sharing Agreements:* Implement revenue-sharing agreements with partners to align incentives and distribute risk.
5. **Optimizing Asset Utilization:**
   - *Asset Securitization:* Securitize certain assets to improve liquidity. This can provide immediate cash inflow while offloading risk associated with those assets.
   - *Sale and Leaseback Transactions:* Sell owned physical assets, like real estate or equipment, and lease them back. This frees up capital tied in fixed assets while retaining their operational use.
6. **Risk Management:**
   - *Hedging Strategies:* Use hedging strategies to mitigate risks related to currency fluctuations, interest rates, and commodity prices. This can stabilize cash flows and protect margins.
Implementing these strategies requires careful analysis of current market conditions, the company’s operational needs, and long-term strategic goals. Additionally, it is crucial to maintain a balance between debt and equity to optimize the Weighted Average Cost of Capital (WACC) and enhance shareholder value.</t>
  </si>
  <si>
    <t>To optimize the company’s capital structure, consider a strategic approach that balances equity and debt to minimize the overall cost of capital while enhancing financial flexibility. Here’s a proposal:
### 1. **Debt Restructuring**
- **Refinance Existing Debt**: Evaluate the current interest rates and look for opportunities to refinance at lower rates. This reduces interest expenses and improves cash flows.
- **Diversify Debt Types**: Introduce a mix of fixed and floating-rate debt. Fixed rates provide stability, while floating rates can offer savings if market rates drop.
### 2. **Equity Optimization**
- **Issue Convertible Bonds**: These can attract investors seeking equity-like returns with lower risk, potentially lowering the cost of capital over time.
- **Share Buybacks**: Consider repurchasing shares when the market undervalues the company, which can improve earnings per share and shareholder value.
### 3. **Leverage Management**
- **Optimal Debt Ratio**: Establish and maintain an optimal debt-to-equity ratio by regularly reviewing industry benchmarks and adjusting as necessary.
- **Retained Earnings Utilization**: Use retained earnings to finance projects instead of relying too heavily on external funding, thereby reducing leverage.
### 4. **Asset Management**
- **Asset Monetization**: Identify and sell non-core or underperforming assets to improve liquidity and reinvest in higher-return opportunities.
- **Leasing vs. Owning**: Consider leasing new equipment or properties instead of purchasing them outright to preserve cash flow and maintain flexibility.
### 5. **Risk Management** 
- **Hedging Strategies**: Implement hedging to manage exposure to interest rate fluctuations and foreign exchange risks.
- **Insurance Optimization**: Ensure the company is adequately insured to protect against unforeseen liabilities without overpaying.
### 6. **Cost Efficiency**
- **Operational Efficiency**: Enhance cost controls and operational efficiencies to improve margins and free up funds for strategic investments or debt reduction.
- **Capital Expenditure Management**: Prioritize high-return projects and defer or eliminate low-value capital expenditures.
### 7. **Investor Relations**
- **Transparent Communication**: Maintain open lines of communication with investors to build trust, which can stabilize the company’s stock price and reduce the equity cost of capital.
- **Dividend Policy Review**: Align the dividend policy with the company’s cash flow capabilities and growth objectives to maintain investor confidence.
By implementing these strategies, the company can create a more balanced capital structure, reduce financial risks, and support sustainable growth.</t>
  </si>
  <si>
    <t>To improve financial performance based on the information provided, consider the following proposals:
1. **Enhance Risk Management**:
   - Implement advanced quantitative and qualitative analysis tools for more accurate market risk assessments.
   - Regularly update risk management strategies to align with current market conditions.
2. **Strengthen Internal Controls**:
   - Periodically review and optimize internal controls to ensure they remain effective and relevant.
   - Incorporate technology solutions to automate and streamline financial reporting processes.
3. **Cost-Benefit Analysis**:
   - Conduct a thorough cost-benefit analysis of existing controls and procedures to ensure resource allocation maximizes value.
   - Focus on high-impact areas that contribute most to financial performance improvements.
4. **Management Training**:
   - Offer training programs for management to enhance decision-making capabilities regarding internal controls and financial strategies.
   - Stay informed about regulatory changes to adapt quickly and maintain compliance.
5. **Innovation and Efficiency**:
   - Invest in data analytics to extract actionable insights for financial decision-making.
   - Encourage cross-departmental collaboration to identify and eliminate inefficiencies in financial processes.
6. **Feedback and Continuous Improvement**:
   - Establish a feedback loop with stakeholders to identify areas of improvement in financial reporting and control processes.
   - Implement a continuous improvement framework to keep refining financial strategies and operations.
These strategies are designed to bolster financial performance by enhancing controls, improving risk management, and optimizing resource use.</t>
  </si>
  <si>
    <t>Improving financial performance involves a combination of strategies that enhance revenue, reduce costs, improve efficiency, and manage risks. Here are some proposals that can be made to achieve these goals:
1. **Cost Optimization:**
   - Conduct a thorough cost-benefit analysis for all processes to identify areas where spending can be reduced without compromising quality.
   - Implement lean management techniques to minimize waste and improve process efficiencies.
   - Negotiate with suppliers for better terms or seek alternative suppliers to reduce procurement costs.
2. **Revenue Enhancement:**
   - Diversify product or service offerings to tap into new markets or increase market share.
   - Invest in marketing and sales initiatives to increase brand awareness and customer acquisition.
   - Explore pricing strategies such as premium pricing or discounting for bulk purchases to drive sales volume.
3. **Operational Efficiency:**
   - Utilize technology and automation to streamline operations and reduce manual labor costs.
   - Regularly review and update business processes to eliminate bottlenecks and improve turnaround times.
   - Implement data-driven decision-making to enhance forecasting and inventory management, reducing excess stock and associated costs.
4. **Financial Management:**
   - Strengthen the financial planning and analysis (FP&amp;A) team to improve budgeting accuracy and financial forecasting.
   - Optimize the capital structure to reduce the cost of capital and improve leverage.
   - Implement robust risk management procedures to mitigate financial risks and safeguard assets.
5. **Customer Relationship Management:**
   - Enhance customer service to improve satisfaction and reduce churn, thereby increasing customer lifetime value.
   - Implement loyalty programs to retain customers and encourage repeat business.
   - Gather and analyze customer feedback to continuously improve products and services.
6. **Employee Productivity:**
   - Invest in employee training and development to improve skills and efficiency.
   - Review compensation structures to ensure they are performance-based and incentivize productivity.
   - Foster a positive workplace culture to enhance motivation and reduce turnover.
7. **Compliance and Control:**
   - Ensure compliance with regulatory requirements to avoid costly fines and legal expenses.
   - Strengthen internal controls to prevent fraud and financial misreporting.
   - Conduct regular audits to identify and rectify any inefficiencies or discrepancies.
8. **Strategic Investments:**
   - Focus on strategic investments that provide long-term value and competitive advantage.
   - Conduct a rigorous appraisal of investment opportunities to ensure they align with the company’s strategic goals.
   - Consider partnerships or joint ventures to share costs and risks while accessing new markets or technologies.
By addressing these areas, a company can improve its financial performance, ensuring sustainable growth and profitability. It is important to continuously monitor progress and adapt strategies as necessary to meet changing market conditions and business objectives.</t>
  </si>
  <si>
    <t>To improve financial performance, the document suggests the following proposals:
1. **Increase Revenue**: 
   - Develop new products or services.
   - Enhance marketing efforts.
   - Expand to new markets or segments.
2. **Cost Management**:
   - Streamline operations to reduce overhead costs.
   - Implement energy-saving measures.
3. **Efficiency Improvements**:
   - Invest in new technologies to improve productivity.
   - Optimize supply chain and inventory management.
4. **Financial Strategy**:
   - Review pricing strategies for better margins.
   - Explore strategic partnerships or mergers.
5. **Risk Management**: 
   - Diversify investments and revenue streams to mitigate risk.
6. **Customer Engagement**:
   - Enhance customer service to maintain loyalty.
   - Implement feedback systems to improve satisfaction.
These strategies can help in addressing various financial challenges and opportunities for growth.</t>
  </si>
  <si>
    <t>Avg Token Count</t>
  </si>
  <si>
    <t>t-Test: Paired Two Sample for Means</t>
  </si>
  <si>
    <t>Variable 1</t>
  </si>
  <si>
    <t>Variable 2</t>
  </si>
  <si>
    <t>Mean</t>
  </si>
  <si>
    <t>Variance</t>
  </si>
  <si>
    <t>Observations</t>
  </si>
  <si>
    <t>Pearson Correlation</t>
  </si>
  <si>
    <t>Hypothesized Mean Difference</t>
  </si>
  <si>
    <t>df</t>
  </si>
  <si>
    <t>t Stat</t>
  </si>
  <si>
    <t>P(T&lt;=t) one-tail</t>
  </si>
  <si>
    <t>t Critical one-tail</t>
  </si>
  <si>
    <t>P(T&lt;=t) two-tail</t>
  </si>
  <si>
    <t>t Critical two-tail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</si>
</sst>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1" formatCode="0.00000"/>
    <numFmt numFmtId="173" formatCode="0.000"/>
  </numFmts>
  <fonts count="4" x14ac:knownFonts="1">
    <font>
      <sz val="11"/>
      <color theme="1"/>
      <name val="Calibri"/>
      <family val="2"/>
      <scheme val="minor"/>
    </font>
    <font>
      <b/>
      <sz val="11"/>
      <name val="Calibri"/>
      <family val="2"/>
    </font>
    <font>
      <b/>
      <sz val="11"/>
      <color theme="1"/>
      <name val="Calibri"/>
      <family val="2"/>
      <scheme val="minor"/>
    </font>
    <font>
      <i/>
      <sz val="11"/>
      <color theme="1"/>
      <name val="Calibri"/>
      <family val="2"/>
      <scheme val="minor"/>
    </font>
  </fonts>
  <fills count="3">
    <fill>
      <patternFill patternType="none"/>
    </fill>
    <fill>
      <patternFill patternType="gray125"/>
    </fill>
    <fill>
      <patternFill patternType="solid">
        <fgColor theme="3" tint="0.79998168889431442"/>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top"/>
    </xf>
    <xf numFmtId="0" fontId="2" fillId="2" borderId="0" xfId="0" applyFont="1" applyFill="1"/>
    <xf numFmtId="0" fontId="0" fillId="0" borderId="0" xfId="0" applyFill="1" applyBorder="1" applyAlignment="1"/>
    <xf numFmtId="0" fontId="0" fillId="0" borderId="2" xfId="0" applyFill="1" applyBorder="1" applyAlignment="1"/>
    <xf numFmtId="0" fontId="3" fillId="0" borderId="3" xfId="0" applyFont="1" applyFill="1" applyBorder="1" applyAlignment="1">
      <alignment horizontal="center"/>
    </xf>
    <xf numFmtId="171" fontId="0" fillId="0" borderId="0" xfId="0" applyNumberFormat="1" applyFill="1" applyBorder="1" applyAlignment="1"/>
    <xf numFmtId="171" fontId="0" fillId="0" borderId="2" xfId="0" applyNumberFormat="1" applyFill="1" applyBorder="1" applyAlignment="1"/>
    <xf numFmtId="173" fontId="0" fillId="0" borderId="0" xfId="0" applyNumberFormat="1" applyFill="1" applyBorder="1" applyAlignment="1"/>
    <xf numFmtId="173" fontId="0" fillId="0" borderId="2" xfId="0" applyNumberFormat="1" applyFill="1" applyBorder="1" applyAlignment="1"/>
    <xf numFmtId="0" fontId="0" fillId="0" borderId="0" xfId="0" applyAlignment="1">
      <alignment wrapText="1"/>
    </xf>
    <xf numFmtId="0" fontId="0" fillId="0" borderId="0" xfId="0" applyAlignment="1">
      <alignment shrinkToFit="1"/>
    </xf>
    <xf numFmtId="0" fontId="0" fillId="0" borderId="0" xfId="0" applyAlignment="1"/>
    <xf numFmtId="11" fontId="0" fillId="0" borderId="0" xfId="0" applyNumberFormat="1" applyFill="1"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8B76468-FE5F-174F-964F-573CD555C7C1}">
  <we:reference id="wa200005669" version="2.0.0.0" store="en-US" storeType="OMEX"/>
  <we:alternateReferences>
    <we:reference id="WA200005669" version="2.0.0.0" store="" storeType="OMEX"/>
  </we:alternateReferences>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6"/>
  <sheetViews>
    <sheetView topLeftCell="C1" workbookViewId="0">
      <selection activeCell="I1" sqref="I1:K17"/>
    </sheetView>
  </sheetViews>
  <sheetFormatPr baseColWidth="10" defaultColWidth="8.83203125" defaultRowHeight="15" x14ac:dyDescent="0.2"/>
  <cols>
    <col min="1" max="1" width="10.83203125" customWidth="1"/>
    <col min="2" max="2" width="52.33203125" customWidth="1"/>
    <col min="3" max="3" width="65.5" customWidth="1"/>
    <col min="4" max="4" width="52.5" customWidth="1"/>
    <col min="5" max="5" width="54.5" customWidth="1"/>
    <col min="6" max="6" width="25.6640625" customWidth="1"/>
    <col min="7" max="7" width="28.33203125" customWidth="1"/>
    <col min="8" max="8" width="33.1640625" customWidth="1"/>
    <col min="9" max="9" width="24.6640625" customWidth="1"/>
    <col min="10" max="10" width="22" customWidth="1"/>
    <col min="11" max="11" width="27" customWidth="1"/>
    <col min="12" max="12" width="21.5" customWidth="1"/>
    <col min="13" max="13" width="20" customWidth="1"/>
    <col min="14" max="14" width="20.6640625" customWidth="1"/>
    <col min="15" max="15" width="19.6640625" customWidth="1"/>
  </cols>
  <sheetData>
    <row r="1" spans="1:12" x14ac:dyDescent="0.2">
      <c r="A1" s="1" t="s">
        <v>0</v>
      </c>
      <c r="B1" s="1" t="s">
        <v>1</v>
      </c>
      <c r="C1" s="1" t="s">
        <v>2</v>
      </c>
      <c r="D1" s="1" t="s">
        <v>3</v>
      </c>
      <c r="E1" s="1" t="s">
        <v>4</v>
      </c>
      <c r="F1" s="1" t="s">
        <v>5</v>
      </c>
      <c r="G1" s="1" t="s">
        <v>6</v>
      </c>
      <c r="H1" s="1" t="s">
        <v>7</v>
      </c>
      <c r="I1" s="1" t="s">
        <v>8</v>
      </c>
      <c r="J1" s="1" t="s">
        <v>9</v>
      </c>
      <c r="K1" s="1" t="s">
        <v>10</v>
      </c>
      <c r="L1" s="1" t="s">
        <v>11</v>
      </c>
    </row>
    <row r="2" spans="1:12" x14ac:dyDescent="0.2">
      <c r="A2" t="s">
        <v>12</v>
      </c>
      <c r="B2" t="s">
        <v>13</v>
      </c>
      <c r="C2" t="s">
        <v>14</v>
      </c>
      <c r="D2" t="s">
        <v>15</v>
      </c>
      <c r="E2" t="s">
        <v>16</v>
      </c>
      <c r="F2">
        <v>894</v>
      </c>
      <c r="G2">
        <v>183</v>
      </c>
      <c r="H2">
        <v>900</v>
      </c>
      <c r="I2">
        <v>5</v>
      </c>
      <c r="J2">
        <v>1</v>
      </c>
      <c r="K2">
        <v>3</v>
      </c>
    </row>
    <row r="3" spans="1:12" x14ac:dyDescent="0.2">
      <c r="A3" t="s">
        <v>12</v>
      </c>
      <c r="B3" t="s">
        <v>17</v>
      </c>
      <c r="C3" t="s">
        <v>18</v>
      </c>
      <c r="D3" t="s">
        <v>19</v>
      </c>
      <c r="E3" t="s">
        <v>20</v>
      </c>
      <c r="F3">
        <v>919</v>
      </c>
      <c r="G3">
        <v>161</v>
      </c>
      <c r="H3">
        <v>940</v>
      </c>
      <c r="I3">
        <v>4</v>
      </c>
      <c r="J3">
        <v>2</v>
      </c>
      <c r="K3">
        <v>0</v>
      </c>
    </row>
    <row r="4" spans="1:12" x14ac:dyDescent="0.2">
      <c r="A4" t="s">
        <v>12</v>
      </c>
      <c r="B4" t="s">
        <v>21</v>
      </c>
      <c r="C4" t="s">
        <v>22</v>
      </c>
      <c r="D4" t="s">
        <v>23</v>
      </c>
      <c r="E4" t="s">
        <v>24</v>
      </c>
      <c r="F4">
        <v>924</v>
      </c>
      <c r="G4">
        <v>149</v>
      </c>
      <c r="H4">
        <v>902</v>
      </c>
      <c r="I4">
        <v>5</v>
      </c>
      <c r="J4">
        <v>5</v>
      </c>
      <c r="K4">
        <v>1</v>
      </c>
    </row>
    <row r="5" spans="1:12" x14ac:dyDescent="0.2">
      <c r="A5" t="s">
        <v>12</v>
      </c>
      <c r="B5" t="s">
        <v>25</v>
      </c>
      <c r="C5" t="s">
        <v>26</v>
      </c>
      <c r="D5" t="s">
        <v>27</v>
      </c>
      <c r="E5" t="s">
        <v>28</v>
      </c>
      <c r="F5">
        <v>908</v>
      </c>
      <c r="G5">
        <v>112</v>
      </c>
      <c r="H5">
        <v>909</v>
      </c>
      <c r="I5">
        <v>5</v>
      </c>
      <c r="J5">
        <v>5</v>
      </c>
      <c r="K5">
        <v>1</v>
      </c>
    </row>
    <row r="6" spans="1:12" x14ac:dyDescent="0.2">
      <c r="A6" t="s">
        <v>29</v>
      </c>
      <c r="B6" t="s">
        <v>30</v>
      </c>
      <c r="C6" t="s">
        <v>31</v>
      </c>
      <c r="D6" t="s">
        <v>32</v>
      </c>
      <c r="E6" t="s">
        <v>33</v>
      </c>
      <c r="F6">
        <v>1151</v>
      </c>
      <c r="G6">
        <v>402</v>
      </c>
      <c r="H6">
        <v>1094</v>
      </c>
      <c r="I6">
        <v>5</v>
      </c>
      <c r="J6">
        <v>4</v>
      </c>
      <c r="K6">
        <v>3</v>
      </c>
    </row>
    <row r="7" spans="1:12" x14ac:dyDescent="0.2">
      <c r="A7" t="s">
        <v>29</v>
      </c>
      <c r="B7" t="s">
        <v>34</v>
      </c>
      <c r="C7" t="s">
        <v>35</v>
      </c>
      <c r="D7" t="s">
        <v>36</v>
      </c>
      <c r="E7" t="s">
        <v>37</v>
      </c>
      <c r="F7">
        <v>1012</v>
      </c>
      <c r="G7">
        <v>210</v>
      </c>
      <c r="H7">
        <v>1142</v>
      </c>
      <c r="I7">
        <v>5</v>
      </c>
      <c r="J7">
        <v>3</v>
      </c>
      <c r="K7">
        <v>1</v>
      </c>
    </row>
    <row r="8" spans="1:12" x14ac:dyDescent="0.2">
      <c r="A8" t="s">
        <v>29</v>
      </c>
      <c r="B8" t="s">
        <v>38</v>
      </c>
      <c r="C8" t="s">
        <v>39</v>
      </c>
      <c r="D8" t="s">
        <v>40</v>
      </c>
      <c r="E8" t="s">
        <v>41</v>
      </c>
      <c r="F8">
        <v>1145</v>
      </c>
      <c r="G8">
        <v>357</v>
      </c>
      <c r="H8">
        <v>1050</v>
      </c>
      <c r="I8">
        <v>4</v>
      </c>
      <c r="J8">
        <v>2</v>
      </c>
      <c r="K8">
        <v>2</v>
      </c>
    </row>
    <row r="9" spans="1:12" x14ac:dyDescent="0.2">
      <c r="A9" t="s">
        <v>29</v>
      </c>
      <c r="B9" t="s">
        <v>42</v>
      </c>
      <c r="C9" t="s">
        <v>43</v>
      </c>
      <c r="D9" t="s">
        <v>44</v>
      </c>
      <c r="E9" t="s">
        <v>45</v>
      </c>
      <c r="F9">
        <v>1237</v>
      </c>
      <c r="G9">
        <v>489</v>
      </c>
      <c r="H9">
        <v>1185</v>
      </c>
      <c r="I9">
        <v>5</v>
      </c>
      <c r="J9">
        <v>4</v>
      </c>
      <c r="K9">
        <v>4</v>
      </c>
    </row>
    <row r="10" spans="1:12" x14ac:dyDescent="0.2">
      <c r="A10" t="s">
        <v>46</v>
      </c>
      <c r="B10" t="s">
        <v>47</v>
      </c>
      <c r="C10" t="s">
        <v>48</v>
      </c>
      <c r="D10" t="s">
        <v>49</v>
      </c>
      <c r="E10" t="s">
        <v>50</v>
      </c>
      <c r="F10">
        <v>1022</v>
      </c>
      <c r="G10">
        <v>227</v>
      </c>
      <c r="H10">
        <v>928</v>
      </c>
      <c r="I10">
        <v>5</v>
      </c>
      <c r="J10">
        <v>5</v>
      </c>
      <c r="K10">
        <v>0</v>
      </c>
    </row>
    <row r="11" spans="1:12" x14ac:dyDescent="0.2">
      <c r="A11" t="s">
        <v>46</v>
      </c>
      <c r="B11" t="s">
        <v>51</v>
      </c>
      <c r="C11" t="s">
        <v>52</v>
      </c>
      <c r="D11" t="s">
        <v>53</v>
      </c>
      <c r="E11" t="s">
        <v>54</v>
      </c>
      <c r="F11">
        <v>1006</v>
      </c>
      <c r="G11">
        <v>401</v>
      </c>
      <c r="H11">
        <v>1114</v>
      </c>
      <c r="I11">
        <v>5</v>
      </c>
      <c r="J11">
        <v>3</v>
      </c>
      <c r="K11">
        <v>5</v>
      </c>
    </row>
    <row r="12" spans="1:12" x14ac:dyDescent="0.2">
      <c r="A12" t="s">
        <v>46</v>
      </c>
      <c r="B12" t="s">
        <v>55</v>
      </c>
      <c r="C12" t="s">
        <v>56</v>
      </c>
      <c r="D12" t="s">
        <v>57</v>
      </c>
      <c r="E12" t="s">
        <v>58</v>
      </c>
      <c r="F12">
        <v>1104</v>
      </c>
      <c r="G12">
        <v>263</v>
      </c>
      <c r="H12">
        <v>1080</v>
      </c>
      <c r="I12">
        <v>5</v>
      </c>
      <c r="J12">
        <v>5</v>
      </c>
      <c r="K12">
        <v>5</v>
      </c>
    </row>
    <row r="13" spans="1:12" x14ac:dyDescent="0.2">
      <c r="A13" t="s">
        <v>46</v>
      </c>
      <c r="B13" t="s">
        <v>59</v>
      </c>
      <c r="C13" t="s">
        <v>60</v>
      </c>
      <c r="D13" t="s">
        <v>61</v>
      </c>
      <c r="E13" t="s">
        <v>62</v>
      </c>
      <c r="F13">
        <v>973</v>
      </c>
      <c r="G13">
        <v>182</v>
      </c>
      <c r="H13">
        <v>973</v>
      </c>
      <c r="I13">
        <v>4</v>
      </c>
      <c r="J13">
        <v>3</v>
      </c>
      <c r="K13">
        <v>4</v>
      </c>
    </row>
    <row r="14" spans="1:12" x14ac:dyDescent="0.2">
      <c r="A14" t="s">
        <v>63</v>
      </c>
      <c r="B14" t="s">
        <v>64</v>
      </c>
      <c r="C14" t="s">
        <v>65</v>
      </c>
      <c r="D14" t="s">
        <v>66</v>
      </c>
      <c r="E14" t="s">
        <v>67</v>
      </c>
      <c r="F14">
        <v>1256</v>
      </c>
      <c r="G14">
        <v>664</v>
      </c>
      <c r="H14">
        <v>1275</v>
      </c>
      <c r="I14">
        <v>4</v>
      </c>
      <c r="J14">
        <v>4</v>
      </c>
      <c r="K14">
        <v>1</v>
      </c>
    </row>
    <row r="15" spans="1:12" x14ac:dyDescent="0.2">
      <c r="A15" t="s">
        <v>63</v>
      </c>
      <c r="B15" t="s">
        <v>68</v>
      </c>
      <c r="C15" t="s">
        <v>69</v>
      </c>
      <c r="D15" t="s">
        <v>70</v>
      </c>
      <c r="E15" t="s">
        <v>71</v>
      </c>
      <c r="F15">
        <v>1093</v>
      </c>
      <c r="G15">
        <v>269</v>
      </c>
      <c r="H15">
        <v>1118</v>
      </c>
      <c r="I15">
        <v>5</v>
      </c>
      <c r="J15">
        <v>3</v>
      </c>
      <c r="K15">
        <v>4</v>
      </c>
    </row>
    <row r="16" spans="1:12" x14ac:dyDescent="0.2">
      <c r="A16" t="s">
        <v>63</v>
      </c>
      <c r="B16" t="s">
        <v>72</v>
      </c>
      <c r="C16" t="s">
        <v>73</v>
      </c>
      <c r="D16" t="s">
        <v>74</v>
      </c>
      <c r="E16" t="s">
        <v>75</v>
      </c>
      <c r="F16">
        <v>1295</v>
      </c>
      <c r="G16">
        <v>543</v>
      </c>
      <c r="H16">
        <v>1462</v>
      </c>
      <c r="I16">
        <v>4</v>
      </c>
      <c r="J16">
        <v>3</v>
      </c>
      <c r="K16">
        <v>5</v>
      </c>
    </row>
    <row r="17" spans="1:15" x14ac:dyDescent="0.2">
      <c r="A17" t="s">
        <v>63</v>
      </c>
      <c r="B17" t="s">
        <v>76</v>
      </c>
      <c r="C17" t="s">
        <v>77</v>
      </c>
      <c r="D17" t="s">
        <v>78</v>
      </c>
      <c r="E17" t="s">
        <v>79</v>
      </c>
      <c r="F17">
        <v>1182</v>
      </c>
      <c r="G17">
        <v>459</v>
      </c>
      <c r="H17">
        <v>1262</v>
      </c>
      <c r="I17">
        <v>4</v>
      </c>
      <c r="J17">
        <v>4</v>
      </c>
      <c r="K17">
        <v>5</v>
      </c>
    </row>
    <row r="20" spans="1:15" x14ac:dyDescent="0.2">
      <c r="E20" s="2" t="s">
        <v>272</v>
      </c>
      <c r="F20" s="2">
        <f t="shared" ref="F20:K20" si="0">AVERAGE(F2:F17)</f>
        <v>1070.0625</v>
      </c>
      <c r="G20" s="2">
        <f t="shared" si="0"/>
        <v>316.9375</v>
      </c>
      <c r="H20" s="2">
        <f t="shared" si="0"/>
        <v>1083.375</v>
      </c>
      <c r="I20" s="2">
        <f t="shared" si="0"/>
        <v>4.625</v>
      </c>
      <c r="J20" s="2">
        <f t="shared" si="0"/>
        <v>3.5</v>
      </c>
      <c r="K20" s="2">
        <f t="shared" si="0"/>
        <v>2.75</v>
      </c>
    </row>
    <row r="23" spans="1:15" x14ac:dyDescent="0.2">
      <c r="I23" t="s">
        <v>273</v>
      </c>
      <c r="M23" t="s">
        <v>273</v>
      </c>
    </row>
    <row r="24" spans="1:15" ht="16" thickBot="1" x14ac:dyDescent="0.25"/>
    <row r="25" spans="1:15" x14ac:dyDescent="0.2">
      <c r="I25" s="5"/>
      <c r="J25" s="5" t="s">
        <v>274</v>
      </c>
      <c r="K25" s="5" t="s">
        <v>275</v>
      </c>
      <c r="M25" s="5"/>
      <c r="N25" s="5" t="s">
        <v>274</v>
      </c>
      <c r="O25" s="5" t="s">
        <v>275</v>
      </c>
    </row>
    <row r="26" spans="1:15" x14ac:dyDescent="0.2">
      <c r="I26" s="3" t="s">
        <v>276</v>
      </c>
      <c r="J26" s="3">
        <v>4.625</v>
      </c>
      <c r="K26" s="3">
        <v>3.5</v>
      </c>
      <c r="M26" s="3" t="s">
        <v>276</v>
      </c>
      <c r="N26" s="3">
        <v>4.625</v>
      </c>
      <c r="O26" s="3">
        <v>2.75</v>
      </c>
    </row>
    <row r="27" spans="1:15" x14ac:dyDescent="0.2">
      <c r="I27" s="3" t="s">
        <v>277</v>
      </c>
      <c r="J27" s="3">
        <v>0.25</v>
      </c>
      <c r="K27" s="3">
        <v>1.4666666666666666</v>
      </c>
      <c r="M27" s="3" t="s">
        <v>277</v>
      </c>
      <c r="N27" s="3">
        <v>0.25</v>
      </c>
      <c r="O27" s="3">
        <v>3.5333333333333332</v>
      </c>
    </row>
    <row r="28" spans="1:15" x14ac:dyDescent="0.2">
      <c r="I28" s="3" t="s">
        <v>278</v>
      </c>
      <c r="J28" s="3">
        <v>16</v>
      </c>
      <c r="K28" s="3">
        <v>16</v>
      </c>
      <c r="M28" s="3" t="s">
        <v>278</v>
      </c>
      <c r="N28" s="3">
        <v>16</v>
      </c>
      <c r="O28" s="3">
        <v>16</v>
      </c>
    </row>
    <row r="29" spans="1:15" x14ac:dyDescent="0.2">
      <c r="I29" s="3" t="s">
        <v>279</v>
      </c>
      <c r="J29" s="3">
        <v>0.33028912953790812</v>
      </c>
      <c r="K29" s="3"/>
      <c r="M29" s="3" t="s">
        <v>279</v>
      </c>
      <c r="N29" s="3">
        <v>-3.546634510659543E-2</v>
      </c>
      <c r="O29" s="3"/>
    </row>
    <row r="30" spans="1:15" x14ac:dyDescent="0.2">
      <c r="I30" s="3" t="s">
        <v>280</v>
      </c>
      <c r="J30" s="3">
        <v>0</v>
      </c>
      <c r="K30" s="3"/>
      <c r="M30" s="3" t="s">
        <v>280</v>
      </c>
      <c r="N30" s="3">
        <v>0</v>
      </c>
      <c r="O30" s="3"/>
    </row>
    <row r="31" spans="1:15" x14ac:dyDescent="0.2">
      <c r="I31" s="3" t="s">
        <v>281</v>
      </c>
      <c r="J31" s="3">
        <v>15</v>
      </c>
      <c r="K31" s="3"/>
      <c r="M31" s="3" t="s">
        <v>281</v>
      </c>
      <c r="N31" s="3">
        <v>15</v>
      </c>
      <c r="O31" s="3"/>
    </row>
    <row r="32" spans="1:15" x14ac:dyDescent="0.2">
      <c r="I32" s="3" t="s">
        <v>282</v>
      </c>
      <c r="J32" s="8">
        <v>3.921702032975356</v>
      </c>
      <c r="K32" s="3"/>
      <c r="M32" s="3" t="s">
        <v>282</v>
      </c>
      <c r="N32" s="8">
        <v>3.8223539357821914</v>
      </c>
      <c r="O32" s="3"/>
    </row>
    <row r="33" spans="9:15" x14ac:dyDescent="0.2">
      <c r="I33" s="3" t="s">
        <v>283</v>
      </c>
      <c r="J33" s="8">
        <v>6.7985311988318098E-4</v>
      </c>
      <c r="K33" s="3"/>
      <c r="M33" s="3" t="s">
        <v>283</v>
      </c>
      <c r="N33" s="8">
        <v>8.3268554495641734E-4</v>
      </c>
      <c r="O33" s="3"/>
    </row>
    <row r="34" spans="9:15" x14ac:dyDescent="0.2">
      <c r="I34" s="3" t="s">
        <v>284</v>
      </c>
      <c r="J34" s="8">
        <v>1.7530503556925723</v>
      </c>
      <c r="K34" s="3"/>
      <c r="M34" s="3" t="s">
        <v>284</v>
      </c>
      <c r="N34" s="8">
        <v>1.7530503556925723</v>
      </c>
      <c r="O34" s="3"/>
    </row>
    <row r="35" spans="9:15" x14ac:dyDescent="0.2">
      <c r="I35" s="3" t="s">
        <v>285</v>
      </c>
      <c r="J35" s="8">
        <v>1.359706239766362E-3</v>
      </c>
      <c r="K35" s="3"/>
      <c r="M35" s="3" t="s">
        <v>285</v>
      </c>
      <c r="N35" s="8">
        <v>1.6653710899128347E-3</v>
      </c>
      <c r="O35" s="3"/>
    </row>
    <row r="36" spans="9:15" ht="16" thickBot="1" x14ac:dyDescent="0.25">
      <c r="I36" s="4" t="s">
        <v>286</v>
      </c>
      <c r="J36" s="9">
        <v>2.1314495455597742</v>
      </c>
      <c r="K36" s="4"/>
      <c r="M36" s="4" t="s">
        <v>286</v>
      </c>
      <c r="N36" s="9">
        <v>2.1314495455597742</v>
      </c>
      <c r="O36" s="4"/>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0"/>
  <sheetViews>
    <sheetView topLeftCell="C16" zoomScale="140" zoomScaleNormal="140" workbookViewId="0">
      <selection activeCell="I2" sqref="I2:K17"/>
    </sheetView>
  </sheetViews>
  <sheetFormatPr baseColWidth="10" defaultColWidth="8.83203125" defaultRowHeight="15" x14ac:dyDescent="0.2"/>
  <cols>
    <col min="1" max="1" width="11" customWidth="1"/>
    <col min="2" max="2" width="45" customWidth="1"/>
    <col min="3" max="3" width="70.83203125" customWidth="1"/>
    <col min="4" max="4" width="44.83203125" customWidth="1"/>
    <col min="5" max="5" width="52.6640625" customWidth="1"/>
    <col min="6" max="6" width="12.33203125" customWidth="1"/>
    <col min="7" max="7" width="16" customWidth="1"/>
    <col min="8" max="8" width="18.83203125" customWidth="1"/>
    <col min="9" max="9" width="20.6640625" bestFit="1" customWidth="1"/>
    <col min="10" max="10" width="22.1640625" bestFit="1" customWidth="1"/>
    <col min="11" max="11" width="24.6640625" bestFit="1" customWidth="1"/>
  </cols>
  <sheetData>
    <row r="1" spans="1:12" x14ac:dyDescent="0.2">
      <c r="A1" s="1" t="s">
        <v>0</v>
      </c>
      <c r="B1" s="1" t="s">
        <v>1</v>
      </c>
      <c r="C1" s="1" t="s">
        <v>2</v>
      </c>
      <c r="D1" s="1" t="s">
        <v>3</v>
      </c>
      <c r="E1" s="1" t="s">
        <v>4</v>
      </c>
      <c r="F1" s="1" t="s">
        <v>5</v>
      </c>
      <c r="G1" s="1" t="s">
        <v>6</v>
      </c>
      <c r="H1" s="1" t="s">
        <v>7</v>
      </c>
      <c r="I1" s="1" t="s">
        <v>8</v>
      </c>
      <c r="J1" s="1" t="s">
        <v>9</v>
      </c>
      <c r="K1" s="1" t="s">
        <v>10</v>
      </c>
      <c r="L1" s="1" t="s">
        <v>11</v>
      </c>
    </row>
    <row r="2" spans="1:12" ht="32" x14ac:dyDescent="0.2">
      <c r="A2" t="s">
        <v>12</v>
      </c>
      <c r="B2" t="s">
        <v>13</v>
      </c>
      <c r="C2" s="10" t="s">
        <v>80</v>
      </c>
      <c r="D2" s="10" t="s">
        <v>81</v>
      </c>
      <c r="E2" s="10" t="s">
        <v>82</v>
      </c>
      <c r="F2">
        <v>894</v>
      </c>
      <c r="G2">
        <v>126</v>
      </c>
      <c r="H2">
        <v>901</v>
      </c>
      <c r="I2" s="11">
        <v>5</v>
      </c>
      <c r="J2" s="11">
        <v>5</v>
      </c>
      <c r="K2" s="11">
        <v>0</v>
      </c>
    </row>
    <row r="3" spans="1:12" ht="80" x14ac:dyDescent="0.2">
      <c r="A3" t="s">
        <v>12</v>
      </c>
      <c r="B3" t="s">
        <v>17</v>
      </c>
      <c r="C3" s="10" t="s">
        <v>83</v>
      </c>
      <c r="D3" s="10" t="s">
        <v>84</v>
      </c>
      <c r="E3" s="10" t="s">
        <v>85</v>
      </c>
      <c r="F3">
        <v>899</v>
      </c>
      <c r="G3">
        <v>171</v>
      </c>
      <c r="H3">
        <v>904</v>
      </c>
      <c r="I3" s="11">
        <v>5</v>
      </c>
      <c r="J3" s="11">
        <v>4</v>
      </c>
      <c r="K3" s="11">
        <v>0</v>
      </c>
    </row>
    <row r="4" spans="1:12" ht="32" x14ac:dyDescent="0.2">
      <c r="A4" t="s">
        <v>12</v>
      </c>
      <c r="B4" t="s">
        <v>21</v>
      </c>
      <c r="C4" s="10" t="s">
        <v>86</v>
      </c>
      <c r="D4" s="10" t="s">
        <v>87</v>
      </c>
      <c r="E4" s="10" t="s">
        <v>88</v>
      </c>
      <c r="F4">
        <v>896</v>
      </c>
      <c r="G4">
        <v>123</v>
      </c>
      <c r="H4">
        <v>902</v>
      </c>
      <c r="I4" s="11">
        <v>5</v>
      </c>
      <c r="J4" s="11">
        <v>5</v>
      </c>
      <c r="K4" s="11">
        <v>0</v>
      </c>
    </row>
    <row r="5" spans="1:12" ht="48" x14ac:dyDescent="0.2">
      <c r="A5" t="s">
        <v>12</v>
      </c>
      <c r="B5" t="s">
        <v>25</v>
      </c>
      <c r="C5" s="10" t="s">
        <v>89</v>
      </c>
      <c r="D5" s="10" t="s">
        <v>90</v>
      </c>
      <c r="E5" s="10" t="s">
        <v>91</v>
      </c>
      <c r="F5">
        <v>904</v>
      </c>
      <c r="G5">
        <v>157</v>
      </c>
      <c r="H5">
        <v>909</v>
      </c>
      <c r="I5" s="11">
        <v>5</v>
      </c>
      <c r="J5" s="11">
        <v>5</v>
      </c>
      <c r="K5" s="11">
        <v>0</v>
      </c>
    </row>
    <row r="6" spans="1:12" ht="208" x14ac:dyDescent="0.2">
      <c r="A6" t="s">
        <v>29</v>
      </c>
      <c r="B6" t="s">
        <v>30</v>
      </c>
      <c r="C6" s="10" t="s">
        <v>92</v>
      </c>
      <c r="D6" s="10" t="s">
        <v>93</v>
      </c>
      <c r="E6" s="10" t="s">
        <v>94</v>
      </c>
      <c r="F6">
        <v>1026</v>
      </c>
      <c r="G6">
        <v>230</v>
      </c>
      <c r="H6">
        <v>933</v>
      </c>
      <c r="I6" s="11">
        <v>4</v>
      </c>
      <c r="J6" s="11">
        <v>3</v>
      </c>
      <c r="K6" s="11">
        <v>0</v>
      </c>
    </row>
    <row r="7" spans="1:12" ht="409.6" x14ac:dyDescent="0.2">
      <c r="A7" t="s">
        <v>29</v>
      </c>
      <c r="B7" t="s">
        <v>34</v>
      </c>
      <c r="C7" s="10" t="s">
        <v>95</v>
      </c>
      <c r="D7" s="10" t="s">
        <v>96</v>
      </c>
      <c r="E7" s="10" t="s">
        <v>97</v>
      </c>
      <c r="F7">
        <v>1161</v>
      </c>
      <c r="G7">
        <v>539</v>
      </c>
      <c r="H7">
        <v>1182</v>
      </c>
      <c r="I7" s="11">
        <v>5</v>
      </c>
      <c r="J7" s="11">
        <v>4</v>
      </c>
      <c r="K7" s="11">
        <v>3</v>
      </c>
    </row>
    <row r="8" spans="1:12" ht="409.6" x14ac:dyDescent="0.2">
      <c r="A8" t="s">
        <v>29</v>
      </c>
      <c r="B8" t="s">
        <v>38</v>
      </c>
      <c r="C8" s="10" t="s">
        <v>98</v>
      </c>
      <c r="D8" s="10" t="s">
        <v>99</v>
      </c>
      <c r="E8" s="10" t="s">
        <v>100</v>
      </c>
      <c r="F8">
        <v>1085</v>
      </c>
      <c r="G8">
        <v>464</v>
      </c>
      <c r="H8">
        <v>1235</v>
      </c>
      <c r="I8" s="11">
        <v>5</v>
      </c>
      <c r="J8" s="11">
        <v>4</v>
      </c>
      <c r="K8" s="11">
        <v>4</v>
      </c>
    </row>
    <row r="9" spans="1:12" ht="409.6" x14ac:dyDescent="0.2">
      <c r="A9" t="s">
        <v>29</v>
      </c>
      <c r="B9" t="s">
        <v>42</v>
      </c>
      <c r="C9" s="10" t="s">
        <v>101</v>
      </c>
      <c r="D9" s="10" t="s">
        <v>102</v>
      </c>
      <c r="E9" s="10" t="s">
        <v>103</v>
      </c>
      <c r="F9">
        <v>1171</v>
      </c>
      <c r="G9">
        <v>394</v>
      </c>
      <c r="H9">
        <v>1281</v>
      </c>
      <c r="I9" s="11">
        <v>4</v>
      </c>
      <c r="J9" s="11">
        <v>4</v>
      </c>
      <c r="K9" s="11">
        <v>2</v>
      </c>
    </row>
    <row r="10" spans="1:12" ht="304" x14ac:dyDescent="0.2">
      <c r="A10" t="s">
        <v>46</v>
      </c>
      <c r="B10" t="s">
        <v>47</v>
      </c>
      <c r="C10" s="10" t="s">
        <v>104</v>
      </c>
      <c r="D10" s="10" t="s">
        <v>105</v>
      </c>
      <c r="E10" s="10" t="s">
        <v>106</v>
      </c>
      <c r="F10">
        <v>1067</v>
      </c>
      <c r="G10">
        <v>196</v>
      </c>
      <c r="H10">
        <v>1033</v>
      </c>
      <c r="I10" s="11">
        <v>4</v>
      </c>
      <c r="J10" s="11">
        <v>4</v>
      </c>
      <c r="K10" s="11">
        <v>2</v>
      </c>
    </row>
    <row r="11" spans="1:12" ht="409.6" x14ac:dyDescent="0.2">
      <c r="A11" t="s">
        <v>46</v>
      </c>
      <c r="B11" t="s">
        <v>51</v>
      </c>
      <c r="C11" s="10" t="s">
        <v>107</v>
      </c>
      <c r="D11" s="10" t="s">
        <v>108</v>
      </c>
      <c r="E11" s="10" t="s">
        <v>109</v>
      </c>
      <c r="F11">
        <v>1107</v>
      </c>
      <c r="G11">
        <v>334</v>
      </c>
      <c r="H11">
        <v>1109</v>
      </c>
      <c r="I11" s="11">
        <v>4</v>
      </c>
      <c r="J11" s="11">
        <v>5</v>
      </c>
      <c r="K11" s="11">
        <v>2</v>
      </c>
    </row>
    <row r="12" spans="1:12" ht="272" x14ac:dyDescent="0.2">
      <c r="A12" t="s">
        <v>46</v>
      </c>
      <c r="B12" t="s">
        <v>55</v>
      </c>
      <c r="C12" s="10" t="s">
        <v>110</v>
      </c>
      <c r="D12" s="10" t="s">
        <v>111</v>
      </c>
      <c r="E12" s="10" t="s">
        <v>112</v>
      </c>
      <c r="F12">
        <v>1048</v>
      </c>
      <c r="G12">
        <v>272</v>
      </c>
      <c r="H12">
        <v>977</v>
      </c>
      <c r="I12" s="11">
        <v>4</v>
      </c>
      <c r="J12" s="11">
        <v>4</v>
      </c>
      <c r="K12" s="11">
        <v>4</v>
      </c>
    </row>
    <row r="13" spans="1:12" ht="256" x14ac:dyDescent="0.2">
      <c r="A13" t="s">
        <v>46</v>
      </c>
      <c r="B13" t="s">
        <v>59</v>
      </c>
      <c r="C13" s="10" t="s">
        <v>113</v>
      </c>
      <c r="D13" s="10" t="s">
        <v>114</v>
      </c>
      <c r="E13" s="10" t="s">
        <v>115</v>
      </c>
      <c r="F13">
        <v>967</v>
      </c>
      <c r="G13">
        <v>188</v>
      </c>
      <c r="H13">
        <v>1004</v>
      </c>
      <c r="I13" s="11">
        <v>4</v>
      </c>
      <c r="J13" s="11">
        <v>3</v>
      </c>
      <c r="K13" s="11">
        <v>4</v>
      </c>
    </row>
    <row r="14" spans="1:12" ht="409.6" x14ac:dyDescent="0.2">
      <c r="A14" t="s">
        <v>63</v>
      </c>
      <c r="B14" t="s">
        <v>64</v>
      </c>
      <c r="C14" s="10" t="s">
        <v>116</v>
      </c>
      <c r="D14" s="10" t="s">
        <v>117</v>
      </c>
      <c r="E14" s="10" t="s">
        <v>118</v>
      </c>
      <c r="F14">
        <v>1312</v>
      </c>
      <c r="G14">
        <v>504</v>
      </c>
      <c r="H14">
        <v>1259</v>
      </c>
      <c r="I14" s="11">
        <v>5</v>
      </c>
      <c r="J14" s="11">
        <v>3</v>
      </c>
      <c r="K14" s="11">
        <v>1</v>
      </c>
    </row>
    <row r="15" spans="1:12" ht="409.6" x14ac:dyDescent="0.2">
      <c r="A15" t="s">
        <v>63</v>
      </c>
      <c r="B15" t="s">
        <v>68</v>
      </c>
      <c r="C15" s="10" t="s">
        <v>119</v>
      </c>
      <c r="D15" s="10" t="s">
        <v>120</v>
      </c>
      <c r="E15" s="10" t="s">
        <v>121</v>
      </c>
      <c r="F15">
        <v>1085</v>
      </c>
      <c r="G15">
        <v>251</v>
      </c>
      <c r="H15">
        <v>1163</v>
      </c>
      <c r="I15" s="11">
        <v>4</v>
      </c>
      <c r="J15" s="11">
        <v>1</v>
      </c>
      <c r="K15" s="11">
        <v>1</v>
      </c>
    </row>
    <row r="16" spans="1:12" ht="409.6" x14ac:dyDescent="0.2">
      <c r="A16" t="s">
        <v>63</v>
      </c>
      <c r="B16" t="s">
        <v>72</v>
      </c>
      <c r="C16" s="10" t="s">
        <v>122</v>
      </c>
      <c r="D16" s="10" t="s">
        <v>123</v>
      </c>
      <c r="E16" s="10" t="s">
        <v>124</v>
      </c>
      <c r="F16">
        <v>1393</v>
      </c>
      <c r="G16">
        <v>522</v>
      </c>
      <c r="H16">
        <v>1325</v>
      </c>
      <c r="I16" s="11">
        <v>4</v>
      </c>
      <c r="J16" s="11">
        <v>3</v>
      </c>
      <c r="K16" s="11">
        <v>2</v>
      </c>
    </row>
    <row r="17" spans="1:11" ht="409.6" x14ac:dyDescent="0.2">
      <c r="A17" t="s">
        <v>63</v>
      </c>
      <c r="B17" t="s">
        <v>76</v>
      </c>
      <c r="C17" s="10" t="s">
        <v>125</v>
      </c>
      <c r="D17" s="10" t="s">
        <v>126</v>
      </c>
      <c r="E17" s="10" t="s">
        <v>127</v>
      </c>
      <c r="F17">
        <v>1249</v>
      </c>
      <c r="G17">
        <v>516</v>
      </c>
      <c r="H17">
        <v>1166</v>
      </c>
      <c r="I17" s="11">
        <v>4</v>
      </c>
      <c r="J17" s="11">
        <v>4</v>
      </c>
      <c r="K17" s="11">
        <v>4</v>
      </c>
    </row>
    <row r="19" spans="1:11" x14ac:dyDescent="0.2">
      <c r="I19">
        <f>AVERAGE(I2:I17)</f>
        <v>4.4375</v>
      </c>
      <c r="J19">
        <f t="shared" ref="J19:K19" si="0">AVERAGE(J2:J17)</f>
        <v>3.8125</v>
      </c>
      <c r="K19">
        <f t="shared" si="0"/>
        <v>1.8125</v>
      </c>
    </row>
    <row r="20" spans="1:11" x14ac:dyDescent="0.2">
      <c r="E20" s="2" t="s">
        <v>272</v>
      </c>
      <c r="F20" s="2">
        <f>AVERAGE(F2:F17)</f>
        <v>1079</v>
      </c>
      <c r="G20" s="2">
        <f>AVERAGE(G2:G17)</f>
        <v>311.6875</v>
      </c>
      <c r="H20" s="2">
        <f>AVERAGE(H2:H17)</f>
        <v>1080.1875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0"/>
  <sheetViews>
    <sheetView topLeftCell="C6" zoomScale="120" zoomScaleNormal="120" workbookViewId="0">
      <selection activeCell="I2" sqref="I2:K17"/>
    </sheetView>
  </sheetViews>
  <sheetFormatPr baseColWidth="10" defaultColWidth="8.83203125" defaultRowHeight="15" x14ac:dyDescent="0.2"/>
  <cols>
    <col min="1" max="1" width="11.33203125" customWidth="1"/>
    <col min="2" max="2" width="44.33203125" customWidth="1"/>
    <col min="3" max="3" width="91.83203125" customWidth="1"/>
    <col min="4" max="4" width="65.1640625" customWidth="1"/>
    <col min="5" max="5" width="47" customWidth="1"/>
    <col min="6" max="6" width="15.1640625" customWidth="1"/>
    <col min="7" max="7" width="15.5" customWidth="1"/>
    <col min="8" max="8" width="22.1640625" bestFit="1" customWidth="1"/>
    <col min="9" max="9" width="20.6640625" bestFit="1" customWidth="1"/>
    <col min="10" max="10" width="22.1640625" bestFit="1" customWidth="1"/>
    <col min="11" max="11" width="24.6640625" bestFit="1" customWidth="1"/>
  </cols>
  <sheetData>
    <row r="1" spans="1:12" x14ac:dyDescent="0.2">
      <c r="A1" s="1" t="s">
        <v>0</v>
      </c>
      <c r="B1" s="1" t="s">
        <v>1</v>
      </c>
      <c r="C1" s="1" t="s">
        <v>2</v>
      </c>
      <c r="D1" s="1" t="s">
        <v>3</v>
      </c>
      <c r="E1" s="1" t="s">
        <v>4</v>
      </c>
      <c r="F1" s="1" t="s">
        <v>5</v>
      </c>
      <c r="G1" s="1" t="s">
        <v>6</v>
      </c>
      <c r="H1" s="1" t="s">
        <v>7</v>
      </c>
      <c r="I1" s="1" t="s">
        <v>8</v>
      </c>
      <c r="J1" s="1" t="s">
        <v>9</v>
      </c>
      <c r="K1" s="1" t="s">
        <v>10</v>
      </c>
      <c r="L1" s="1" t="s">
        <v>11</v>
      </c>
    </row>
    <row r="2" spans="1:12" x14ac:dyDescent="0.2">
      <c r="A2" t="s">
        <v>12</v>
      </c>
      <c r="B2" t="s">
        <v>13</v>
      </c>
      <c r="C2" t="s">
        <v>128</v>
      </c>
      <c r="D2" t="s">
        <v>129</v>
      </c>
      <c r="E2" t="s">
        <v>130</v>
      </c>
      <c r="F2">
        <v>940</v>
      </c>
      <c r="G2">
        <v>86</v>
      </c>
      <c r="H2">
        <v>900</v>
      </c>
      <c r="I2">
        <v>5</v>
      </c>
      <c r="J2">
        <v>5</v>
      </c>
      <c r="K2">
        <v>0</v>
      </c>
    </row>
    <row r="3" spans="1:12" x14ac:dyDescent="0.2">
      <c r="A3" t="s">
        <v>12</v>
      </c>
      <c r="B3" t="s">
        <v>17</v>
      </c>
      <c r="C3" t="s">
        <v>131</v>
      </c>
      <c r="D3" t="s">
        <v>132</v>
      </c>
      <c r="E3" t="s">
        <v>133</v>
      </c>
      <c r="F3">
        <v>920</v>
      </c>
      <c r="G3">
        <v>65</v>
      </c>
      <c r="H3">
        <v>890</v>
      </c>
      <c r="I3">
        <v>5</v>
      </c>
      <c r="J3">
        <v>0</v>
      </c>
      <c r="K3">
        <v>0</v>
      </c>
    </row>
    <row r="4" spans="1:12" x14ac:dyDescent="0.2">
      <c r="A4" t="s">
        <v>12</v>
      </c>
      <c r="B4" t="s">
        <v>21</v>
      </c>
      <c r="C4" t="s">
        <v>134</v>
      </c>
      <c r="D4" t="s">
        <v>135</v>
      </c>
      <c r="E4" t="s">
        <v>136</v>
      </c>
      <c r="F4">
        <v>902</v>
      </c>
      <c r="G4">
        <v>137</v>
      </c>
      <c r="H4">
        <v>902</v>
      </c>
      <c r="I4">
        <v>5</v>
      </c>
      <c r="J4">
        <v>5</v>
      </c>
      <c r="K4">
        <v>0</v>
      </c>
    </row>
    <row r="5" spans="1:12" x14ac:dyDescent="0.2">
      <c r="A5" t="s">
        <v>12</v>
      </c>
      <c r="B5" t="s">
        <v>25</v>
      </c>
      <c r="C5" t="s">
        <v>137</v>
      </c>
      <c r="D5" t="s">
        <v>138</v>
      </c>
      <c r="E5" t="s">
        <v>139</v>
      </c>
      <c r="F5">
        <v>907</v>
      </c>
      <c r="G5">
        <v>292</v>
      </c>
      <c r="H5">
        <v>910</v>
      </c>
      <c r="I5">
        <v>5</v>
      </c>
      <c r="J5">
        <v>0</v>
      </c>
      <c r="K5">
        <v>5</v>
      </c>
    </row>
    <row r="6" spans="1:12" x14ac:dyDescent="0.2">
      <c r="A6" t="s">
        <v>29</v>
      </c>
      <c r="B6" t="s">
        <v>30</v>
      </c>
      <c r="C6" t="s">
        <v>140</v>
      </c>
      <c r="D6" t="s">
        <v>141</v>
      </c>
      <c r="E6" t="s">
        <v>142</v>
      </c>
      <c r="F6">
        <v>978</v>
      </c>
      <c r="G6">
        <v>214</v>
      </c>
      <c r="H6">
        <v>939</v>
      </c>
      <c r="I6">
        <v>5</v>
      </c>
      <c r="J6">
        <v>0</v>
      </c>
      <c r="K6">
        <v>0</v>
      </c>
    </row>
    <row r="7" spans="1:12" ht="409.6" x14ac:dyDescent="0.2">
      <c r="A7" t="s">
        <v>29</v>
      </c>
      <c r="B7" t="s">
        <v>34</v>
      </c>
      <c r="C7" s="10" t="s">
        <v>143</v>
      </c>
      <c r="D7" s="10" t="s">
        <v>144</v>
      </c>
      <c r="E7" s="10" t="s">
        <v>145</v>
      </c>
      <c r="F7">
        <v>1190</v>
      </c>
      <c r="G7">
        <v>269</v>
      </c>
      <c r="H7">
        <v>996</v>
      </c>
      <c r="I7">
        <v>5</v>
      </c>
      <c r="J7">
        <v>3</v>
      </c>
      <c r="K7">
        <v>3</v>
      </c>
    </row>
    <row r="8" spans="1:12" ht="409.6" x14ac:dyDescent="0.2">
      <c r="A8" t="s">
        <v>29</v>
      </c>
      <c r="B8" t="s">
        <v>38</v>
      </c>
      <c r="C8" s="10" t="s">
        <v>146</v>
      </c>
      <c r="D8" s="10" t="s">
        <v>147</v>
      </c>
      <c r="E8" s="10" t="s">
        <v>148</v>
      </c>
      <c r="F8">
        <v>1120</v>
      </c>
      <c r="G8">
        <v>433</v>
      </c>
      <c r="H8">
        <v>1115</v>
      </c>
      <c r="I8">
        <v>5</v>
      </c>
      <c r="J8">
        <v>4</v>
      </c>
      <c r="K8">
        <v>0</v>
      </c>
    </row>
    <row r="9" spans="1:12" ht="409.6" x14ac:dyDescent="0.2">
      <c r="A9" t="s">
        <v>29</v>
      </c>
      <c r="B9" s="10" t="s">
        <v>42</v>
      </c>
      <c r="C9" s="10" t="s">
        <v>149</v>
      </c>
      <c r="D9" s="10" t="s">
        <v>150</v>
      </c>
      <c r="E9" s="10" t="s">
        <v>151</v>
      </c>
      <c r="F9">
        <v>1158</v>
      </c>
      <c r="G9">
        <v>553</v>
      </c>
      <c r="H9">
        <v>1171</v>
      </c>
      <c r="I9">
        <v>4</v>
      </c>
      <c r="J9">
        <v>3</v>
      </c>
      <c r="K9">
        <v>2</v>
      </c>
    </row>
    <row r="10" spans="1:12" ht="409.6" x14ac:dyDescent="0.2">
      <c r="A10" t="s">
        <v>46</v>
      </c>
      <c r="B10" t="s">
        <v>47</v>
      </c>
      <c r="C10" s="10" t="s">
        <v>152</v>
      </c>
      <c r="D10" s="10" t="s">
        <v>153</v>
      </c>
      <c r="E10" s="10" t="s">
        <v>154</v>
      </c>
      <c r="F10">
        <v>1047</v>
      </c>
      <c r="G10">
        <v>336</v>
      </c>
      <c r="H10">
        <v>1038</v>
      </c>
      <c r="I10">
        <v>4</v>
      </c>
      <c r="J10">
        <v>1</v>
      </c>
      <c r="K10">
        <v>1</v>
      </c>
    </row>
    <row r="11" spans="1:12" ht="409.6" x14ac:dyDescent="0.2">
      <c r="A11" t="s">
        <v>46</v>
      </c>
      <c r="B11" t="s">
        <v>51</v>
      </c>
      <c r="C11" s="10" t="s">
        <v>155</v>
      </c>
      <c r="D11" s="10" t="s">
        <v>156</v>
      </c>
      <c r="E11" s="10" t="s">
        <v>157</v>
      </c>
      <c r="F11">
        <v>943</v>
      </c>
      <c r="G11">
        <v>357</v>
      </c>
      <c r="H11">
        <v>1104</v>
      </c>
      <c r="I11">
        <v>5</v>
      </c>
      <c r="J11">
        <v>2</v>
      </c>
      <c r="K11">
        <v>2</v>
      </c>
    </row>
    <row r="12" spans="1:12" ht="409.6" x14ac:dyDescent="0.2">
      <c r="A12" t="s">
        <v>46</v>
      </c>
      <c r="B12" t="s">
        <v>55</v>
      </c>
      <c r="C12" s="10" t="s">
        <v>158</v>
      </c>
      <c r="D12" s="10" t="s">
        <v>159</v>
      </c>
      <c r="E12" s="10" t="s">
        <v>160</v>
      </c>
      <c r="F12">
        <v>1115</v>
      </c>
      <c r="G12">
        <v>191</v>
      </c>
      <c r="H12">
        <v>1086</v>
      </c>
      <c r="I12">
        <v>4</v>
      </c>
      <c r="J12">
        <v>2</v>
      </c>
      <c r="K12">
        <v>4</v>
      </c>
    </row>
    <row r="13" spans="1:12" ht="350" x14ac:dyDescent="0.2">
      <c r="A13" t="s">
        <v>46</v>
      </c>
      <c r="B13" t="s">
        <v>59</v>
      </c>
      <c r="C13" s="10" t="s">
        <v>161</v>
      </c>
      <c r="D13" s="10" t="s">
        <v>162</v>
      </c>
      <c r="E13" s="10" t="s">
        <v>163</v>
      </c>
      <c r="F13">
        <v>1096</v>
      </c>
      <c r="G13">
        <v>217</v>
      </c>
      <c r="H13">
        <v>983</v>
      </c>
      <c r="I13">
        <v>4</v>
      </c>
      <c r="J13">
        <v>3</v>
      </c>
      <c r="K13">
        <v>4</v>
      </c>
    </row>
    <row r="14" spans="1:12" ht="409.6" x14ac:dyDescent="0.2">
      <c r="A14" t="s">
        <v>63</v>
      </c>
      <c r="B14" t="s">
        <v>64</v>
      </c>
      <c r="C14" s="10" t="s">
        <v>164</v>
      </c>
      <c r="D14" s="10" t="s">
        <v>165</v>
      </c>
      <c r="E14" s="10" t="s">
        <v>166</v>
      </c>
      <c r="F14">
        <v>1348</v>
      </c>
      <c r="G14">
        <v>564</v>
      </c>
      <c r="H14">
        <v>1269</v>
      </c>
      <c r="I14">
        <v>4</v>
      </c>
      <c r="J14">
        <v>4</v>
      </c>
      <c r="K14">
        <v>4</v>
      </c>
    </row>
    <row r="15" spans="1:12" ht="409.6" x14ac:dyDescent="0.2">
      <c r="A15" t="s">
        <v>63</v>
      </c>
      <c r="B15" t="s">
        <v>68</v>
      </c>
      <c r="C15" s="10" t="s">
        <v>167</v>
      </c>
      <c r="D15" s="10" t="s">
        <v>168</v>
      </c>
      <c r="E15" s="10" t="s">
        <v>169</v>
      </c>
      <c r="F15">
        <v>1185</v>
      </c>
      <c r="G15">
        <v>299</v>
      </c>
      <c r="H15">
        <v>951</v>
      </c>
      <c r="I15">
        <v>2</v>
      </c>
      <c r="J15">
        <v>2</v>
      </c>
      <c r="K15">
        <v>2</v>
      </c>
    </row>
    <row r="16" spans="1:12" ht="409.6" x14ac:dyDescent="0.2">
      <c r="A16" t="s">
        <v>63</v>
      </c>
      <c r="B16" t="s">
        <v>72</v>
      </c>
      <c r="C16" s="10" t="s">
        <v>170</v>
      </c>
      <c r="D16" s="10" t="s">
        <v>171</v>
      </c>
      <c r="E16" s="10" t="s">
        <v>172</v>
      </c>
      <c r="F16">
        <v>1262</v>
      </c>
      <c r="G16">
        <v>550</v>
      </c>
      <c r="H16">
        <v>1473</v>
      </c>
      <c r="I16">
        <v>3</v>
      </c>
      <c r="J16">
        <v>3</v>
      </c>
      <c r="K16">
        <v>3</v>
      </c>
    </row>
    <row r="17" spans="1:11" ht="409.6" x14ac:dyDescent="0.2">
      <c r="A17" t="s">
        <v>63</v>
      </c>
      <c r="B17" t="s">
        <v>76</v>
      </c>
      <c r="C17" s="10" t="s">
        <v>173</v>
      </c>
      <c r="D17" s="10" t="s">
        <v>174</v>
      </c>
      <c r="E17" s="10" t="s">
        <v>175</v>
      </c>
      <c r="F17">
        <v>1151</v>
      </c>
      <c r="G17">
        <v>387</v>
      </c>
      <c r="H17">
        <v>1190</v>
      </c>
      <c r="I17">
        <v>4</v>
      </c>
      <c r="J17">
        <v>4</v>
      </c>
      <c r="K17">
        <v>3</v>
      </c>
    </row>
    <row r="20" spans="1:11" x14ac:dyDescent="0.2">
      <c r="E20" s="2" t="s">
        <v>272</v>
      </c>
      <c r="F20" s="2">
        <f>AVERAGE(F2:F17)</f>
        <v>1078.875</v>
      </c>
      <c r="G20" s="2">
        <f>AVERAGE(G2:G17)</f>
        <v>309.375</v>
      </c>
      <c r="H20" s="2">
        <f>AVERAGE(H2:H17)</f>
        <v>1057.3125</v>
      </c>
      <c r="I20">
        <f>AVERAGE(I2:I17)</f>
        <v>4.3125</v>
      </c>
      <c r="J20">
        <f t="shared" ref="J20:K20" si="0">AVERAGE(J2:J17)</f>
        <v>2.5625</v>
      </c>
      <c r="K20">
        <f t="shared" si="0"/>
        <v>2.0625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0"/>
  <sheetViews>
    <sheetView topLeftCell="B1" workbookViewId="0">
      <selection activeCell="I2" sqref="I2:K17"/>
    </sheetView>
  </sheetViews>
  <sheetFormatPr baseColWidth="10" defaultColWidth="8.83203125" defaultRowHeight="15" x14ac:dyDescent="0.2"/>
  <cols>
    <col min="1" max="1" width="11" customWidth="1"/>
    <col min="2" max="3" width="48.33203125" customWidth="1"/>
    <col min="4" max="4" width="54.1640625" customWidth="1"/>
    <col min="5" max="5" width="45.33203125" customWidth="1"/>
    <col min="6" max="6" width="18.5" customWidth="1"/>
    <col min="7" max="7" width="17.83203125" customWidth="1"/>
    <col min="8" max="8" width="16.5" customWidth="1"/>
    <col min="9" max="9" width="20.6640625" bestFit="1" customWidth="1"/>
    <col min="10" max="10" width="22.1640625" bestFit="1" customWidth="1"/>
    <col min="11" max="11" width="24.6640625" bestFit="1" customWidth="1"/>
  </cols>
  <sheetData>
    <row r="1" spans="1:12" x14ac:dyDescent="0.2">
      <c r="A1" s="1" t="s">
        <v>0</v>
      </c>
      <c r="B1" s="1" t="s">
        <v>1</v>
      </c>
      <c r="C1" s="1" t="s">
        <v>2</v>
      </c>
      <c r="D1" s="1" t="s">
        <v>3</v>
      </c>
      <c r="E1" s="1" t="s">
        <v>4</v>
      </c>
      <c r="F1" s="1" t="s">
        <v>5</v>
      </c>
      <c r="G1" s="1" t="s">
        <v>6</v>
      </c>
      <c r="H1" s="1" t="s">
        <v>7</v>
      </c>
      <c r="I1" s="1" t="s">
        <v>8</v>
      </c>
      <c r="J1" s="1" t="s">
        <v>9</v>
      </c>
      <c r="K1" s="1" t="s">
        <v>10</v>
      </c>
      <c r="L1" s="1" t="s">
        <v>11</v>
      </c>
    </row>
    <row r="2" spans="1:12" x14ac:dyDescent="0.2">
      <c r="A2" t="s">
        <v>12</v>
      </c>
      <c r="B2" t="s">
        <v>13</v>
      </c>
      <c r="C2" t="s">
        <v>176</v>
      </c>
      <c r="D2" t="s">
        <v>177</v>
      </c>
      <c r="E2" t="s">
        <v>178</v>
      </c>
      <c r="F2">
        <v>937</v>
      </c>
      <c r="G2">
        <v>183</v>
      </c>
      <c r="H2">
        <v>900</v>
      </c>
      <c r="I2">
        <v>5</v>
      </c>
      <c r="J2">
        <v>5</v>
      </c>
      <c r="K2">
        <v>0</v>
      </c>
    </row>
    <row r="3" spans="1:12" x14ac:dyDescent="0.2">
      <c r="A3" t="s">
        <v>12</v>
      </c>
      <c r="B3" t="s">
        <v>17</v>
      </c>
      <c r="C3" t="s">
        <v>179</v>
      </c>
      <c r="D3" t="s">
        <v>180</v>
      </c>
      <c r="E3" t="s">
        <v>181</v>
      </c>
      <c r="F3">
        <v>899</v>
      </c>
      <c r="G3">
        <v>126</v>
      </c>
      <c r="H3">
        <v>894</v>
      </c>
      <c r="I3">
        <v>5</v>
      </c>
      <c r="J3">
        <v>5</v>
      </c>
      <c r="K3">
        <v>0</v>
      </c>
    </row>
    <row r="4" spans="1:12" ht="208" x14ac:dyDescent="0.2">
      <c r="A4" t="s">
        <v>12</v>
      </c>
      <c r="B4" t="s">
        <v>21</v>
      </c>
      <c r="C4" s="10" t="s">
        <v>182</v>
      </c>
      <c r="D4" s="10" t="s">
        <v>183</v>
      </c>
      <c r="E4" s="10" t="s">
        <v>184</v>
      </c>
      <c r="F4">
        <v>896</v>
      </c>
      <c r="G4">
        <v>242</v>
      </c>
      <c r="H4">
        <v>903</v>
      </c>
      <c r="I4">
        <v>5</v>
      </c>
      <c r="J4">
        <v>3</v>
      </c>
      <c r="K4">
        <v>0</v>
      </c>
    </row>
    <row r="5" spans="1:12" ht="112" x14ac:dyDescent="0.2">
      <c r="A5" t="s">
        <v>12</v>
      </c>
      <c r="B5" t="s">
        <v>25</v>
      </c>
      <c r="C5" s="10" t="s">
        <v>185</v>
      </c>
      <c r="D5" s="10" t="s">
        <v>186</v>
      </c>
      <c r="E5" s="10" t="s">
        <v>187</v>
      </c>
      <c r="F5">
        <v>907</v>
      </c>
      <c r="G5">
        <v>217</v>
      </c>
      <c r="H5">
        <v>910</v>
      </c>
      <c r="I5">
        <v>5</v>
      </c>
      <c r="J5">
        <v>0</v>
      </c>
      <c r="K5">
        <v>2</v>
      </c>
    </row>
    <row r="6" spans="1:12" ht="380" x14ac:dyDescent="0.2">
      <c r="A6" t="s">
        <v>29</v>
      </c>
      <c r="B6" t="s">
        <v>30</v>
      </c>
      <c r="C6" s="10" t="s">
        <v>188</v>
      </c>
      <c r="D6" s="10" t="s">
        <v>189</v>
      </c>
      <c r="E6" s="10" t="s">
        <v>190</v>
      </c>
      <c r="F6">
        <v>1130</v>
      </c>
      <c r="G6">
        <v>348</v>
      </c>
      <c r="H6">
        <v>961</v>
      </c>
      <c r="I6">
        <v>5</v>
      </c>
      <c r="J6">
        <v>4</v>
      </c>
      <c r="K6">
        <v>1</v>
      </c>
    </row>
    <row r="7" spans="1:12" ht="409.6" x14ac:dyDescent="0.2">
      <c r="A7" t="s">
        <v>29</v>
      </c>
      <c r="B7" s="10" t="s">
        <v>34</v>
      </c>
      <c r="C7" s="10" t="s">
        <v>191</v>
      </c>
      <c r="D7" s="10" t="s">
        <v>192</v>
      </c>
      <c r="E7" s="10" t="s">
        <v>193</v>
      </c>
      <c r="F7">
        <v>1041</v>
      </c>
      <c r="G7">
        <v>478</v>
      </c>
      <c r="H7">
        <v>1128</v>
      </c>
      <c r="I7">
        <v>4</v>
      </c>
      <c r="J7">
        <v>3</v>
      </c>
      <c r="K7">
        <v>4</v>
      </c>
    </row>
    <row r="8" spans="1:12" ht="409.6" x14ac:dyDescent="0.2">
      <c r="A8" t="s">
        <v>29</v>
      </c>
      <c r="B8" s="10" t="s">
        <v>38</v>
      </c>
      <c r="C8" s="10" t="s">
        <v>194</v>
      </c>
      <c r="D8" s="10" t="s">
        <v>195</v>
      </c>
      <c r="E8" s="10" t="s">
        <v>196</v>
      </c>
      <c r="F8">
        <v>1187</v>
      </c>
      <c r="G8">
        <v>335</v>
      </c>
      <c r="H8">
        <v>983</v>
      </c>
      <c r="I8">
        <v>3</v>
      </c>
      <c r="J8">
        <v>5</v>
      </c>
      <c r="K8">
        <v>3</v>
      </c>
    </row>
    <row r="9" spans="1:12" ht="409.6" x14ac:dyDescent="0.2">
      <c r="A9" t="s">
        <v>29</v>
      </c>
      <c r="B9" s="10" t="s">
        <v>42</v>
      </c>
      <c r="C9" s="10" t="s">
        <v>197</v>
      </c>
      <c r="D9" s="10" t="s">
        <v>198</v>
      </c>
      <c r="E9" s="10" t="s">
        <v>199</v>
      </c>
      <c r="F9">
        <v>1233</v>
      </c>
      <c r="G9">
        <v>387</v>
      </c>
      <c r="H9">
        <v>1264</v>
      </c>
      <c r="I9">
        <v>4</v>
      </c>
      <c r="J9">
        <v>5</v>
      </c>
      <c r="K9">
        <v>3</v>
      </c>
    </row>
    <row r="10" spans="1:12" ht="409.6" x14ac:dyDescent="0.2">
      <c r="A10" t="s">
        <v>46</v>
      </c>
      <c r="B10" s="10" t="s">
        <v>47</v>
      </c>
      <c r="C10" s="10" t="s">
        <v>200</v>
      </c>
      <c r="D10" s="10" t="s">
        <v>201</v>
      </c>
      <c r="E10" s="10" t="s">
        <v>202</v>
      </c>
      <c r="F10">
        <v>1114</v>
      </c>
      <c r="G10">
        <v>282</v>
      </c>
      <c r="H10">
        <v>1080</v>
      </c>
      <c r="I10">
        <v>5</v>
      </c>
      <c r="J10">
        <v>3</v>
      </c>
      <c r="K10">
        <v>2</v>
      </c>
    </row>
    <row r="11" spans="1:12" ht="409.6" x14ac:dyDescent="0.2">
      <c r="A11" t="s">
        <v>46</v>
      </c>
      <c r="B11" s="10" t="s">
        <v>51</v>
      </c>
      <c r="C11" s="10" t="s">
        <v>203</v>
      </c>
      <c r="D11" s="10" t="s">
        <v>204</v>
      </c>
      <c r="E11" s="10" t="s">
        <v>205</v>
      </c>
      <c r="F11">
        <v>1078</v>
      </c>
      <c r="G11">
        <v>388</v>
      </c>
      <c r="H11">
        <v>1047</v>
      </c>
      <c r="I11">
        <v>4</v>
      </c>
      <c r="J11">
        <v>4</v>
      </c>
      <c r="K11">
        <v>2</v>
      </c>
    </row>
    <row r="12" spans="1:12" ht="409.6" x14ac:dyDescent="0.2">
      <c r="A12" t="s">
        <v>46</v>
      </c>
      <c r="B12" s="10" t="s">
        <v>55</v>
      </c>
      <c r="C12" s="10" t="s">
        <v>206</v>
      </c>
      <c r="D12" s="10" t="s">
        <v>207</v>
      </c>
      <c r="E12" s="10" t="s">
        <v>208</v>
      </c>
      <c r="F12">
        <v>1104</v>
      </c>
      <c r="G12">
        <v>251</v>
      </c>
      <c r="H12">
        <v>1041</v>
      </c>
      <c r="I12">
        <v>4</v>
      </c>
      <c r="J12">
        <v>3</v>
      </c>
      <c r="K12">
        <v>2</v>
      </c>
    </row>
    <row r="13" spans="1:12" ht="192" x14ac:dyDescent="0.2">
      <c r="A13" t="s">
        <v>46</v>
      </c>
      <c r="B13" s="10" t="s">
        <v>59</v>
      </c>
      <c r="C13" s="10" t="s">
        <v>209</v>
      </c>
      <c r="D13" s="10" t="s">
        <v>210</v>
      </c>
      <c r="E13" s="10" t="s">
        <v>211</v>
      </c>
      <c r="F13">
        <v>976</v>
      </c>
      <c r="G13">
        <v>151</v>
      </c>
      <c r="H13">
        <v>944</v>
      </c>
      <c r="I13">
        <v>4</v>
      </c>
      <c r="J13">
        <v>3</v>
      </c>
      <c r="K13">
        <v>2</v>
      </c>
    </row>
    <row r="14" spans="1:12" ht="409.6" x14ac:dyDescent="0.2">
      <c r="A14" t="s">
        <v>63</v>
      </c>
      <c r="B14" s="10" t="s">
        <v>64</v>
      </c>
      <c r="C14" s="10" t="s">
        <v>212</v>
      </c>
      <c r="D14" s="10" t="s">
        <v>213</v>
      </c>
      <c r="E14" s="10" t="s">
        <v>214</v>
      </c>
      <c r="F14">
        <v>1153</v>
      </c>
      <c r="G14">
        <v>592</v>
      </c>
      <c r="H14">
        <v>1144</v>
      </c>
      <c r="I14">
        <v>4</v>
      </c>
      <c r="J14">
        <v>3</v>
      </c>
      <c r="K14">
        <v>3</v>
      </c>
    </row>
    <row r="15" spans="1:12" ht="409.6" x14ac:dyDescent="0.2">
      <c r="A15" t="s">
        <v>63</v>
      </c>
      <c r="B15" s="10" t="s">
        <v>68</v>
      </c>
      <c r="C15" s="10" t="s">
        <v>215</v>
      </c>
      <c r="D15" s="10" t="s">
        <v>216</v>
      </c>
      <c r="E15" s="10" t="s">
        <v>217</v>
      </c>
      <c r="F15">
        <v>1132</v>
      </c>
      <c r="G15">
        <v>206</v>
      </c>
      <c r="H15">
        <v>1105</v>
      </c>
      <c r="I15">
        <v>4</v>
      </c>
      <c r="J15">
        <v>4</v>
      </c>
      <c r="K15">
        <v>4</v>
      </c>
    </row>
    <row r="16" spans="1:12" ht="409.6" x14ac:dyDescent="0.2">
      <c r="A16" t="s">
        <v>63</v>
      </c>
      <c r="B16" s="10" t="s">
        <v>72</v>
      </c>
      <c r="C16" s="10" t="s">
        <v>218</v>
      </c>
      <c r="D16" s="10" t="s">
        <v>219</v>
      </c>
      <c r="E16" s="10" t="s">
        <v>220</v>
      </c>
      <c r="F16">
        <v>1217</v>
      </c>
      <c r="G16">
        <v>594</v>
      </c>
      <c r="H16">
        <v>1420</v>
      </c>
      <c r="I16">
        <v>4</v>
      </c>
      <c r="J16">
        <v>3</v>
      </c>
      <c r="K16">
        <v>3</v>
      </c>
    </row>
    <row r="17" spans="1:11" ht="409.6" x14ac:dyDescent="0.2">
      <c r="A17" t="s">
        <v>63</v>
      </c>
      <c r="B17" s="10" t="s">
        <v>76</v>
      </c>
      <c r="C17" s="10" t="s">
        <v>221</v>
      </c>
      <c r="D17" s="10" t="s">
        <v>222</v>
      </c>
      <c r="E17" s="10" t="s">
        <v>223</v>
      </c>
      <c r="F17">
        <v>1095</v>
      </c>
      <c r="G17">
        <v>355</v>
      </c>
      <c r="H17">
        <v>1142</v>
      </c>
      <c r="I17">
        <v>4</v>
      </c>
      <c r="J17">
        <v>3</v>
      </c>
      <c r="K17">
        <v>2</v>
      </c>
    </row>
    <row r="20" spans="1:11" x14ac:dyDescent="0.2">
      <c r="E20" s="2" t="s">
        <v>272</v>
      </c>
      <c r="F20" s="2">
        <f>AVERAGE(F2:F17)</f>
        <v>1068.6875</v>
      </c>
      <c r="G20" s="2">
        <f>AVERAGE(G2:G17)</f>
        <v>320.9375</v>
      </c>
      <c r="H20" s="2">
        <f>AVERAGE(H2:H17)</f>
        <v>1054.125</v>
      </c>
      <c r="I20">
        <f>AVERAGE(I2:I17)</f>
        <v>4.3125</v>
      </c>
      <c r="J20">
        <f t="shared" ref="J20:K20" si="0">AVERAGE(J2:J17)</f>
        <v>3.5</v>
      </c>
      <c r="K20">
        <f t="shared" si="0"/>
        <v>2.0625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20"/>
  <sheetViews>
    <sheetView workbookViewId="0">
      <selection activeCell="I2" sqref="I2:K17"/>
    </sheetView>
  </sheetViews>
  <sheetFormatPr baseColWidth="10" defaultColWidth="8.83203125" defaultRowHeight="15" x14ac:dyDescent="0.2"/>
  <cols>
    <col min="1" max="1" width="12.1640625" customWidth="1"/>
    <col min="2" max="2" width="45.1640625" customWidth="1"/>
    <col min="3" max="3" width="70.6640625" customWidth="1"/>
    <col min="4" max="4" width="56.5" customWidth="1"/>
    <col min="5" max="5" width="46.83203125" customWidth="1"/>
    <col min="6" max="6" width="18.33203125" customWidth="1"/>
    <col min="7" max="7" width="16.83203125" customWidth="1"/>
    <col min="8" max="8" width="21.1640625" customWidth="1"/>
  </cols>
  <sheetData>
    <row r="1" spans="1:12" x14ac:dyDescent="0.2">
      <c r="A1" s="1" t="s">
        <v>0</v>
      </c>
      <c r="B1" s="1" t="s">
        <v>1</v>
      </c>
      <c r="C1" s="1" t="s">
        <v>2</v>
      </c>
      <c r="D1" s="1" t="s">
        <v>3</v>
      </c>
      <c r="E1" s="1" t="s">
        <v>4</v>
      </c>
      <c r="F1" s="1" t="s">
        <v>5</v>
      </c>
      <c r="G1" s="1" t="s">
        <v>6</v>
      </c>
      <c r="H1" s="1" t="s">
        <v>7</v>
      </c>
      <c r="I1" s="1" t="s">
        <v>8</v>
      </c>
      <c r="J1" s="1" t="s">
        <v>9</v>
      </c>
      <c r="K1" s="1" t="s">
        <v>10</v>
      </c>
      <c r="L1" s="1" t="s">
        <v>11</v>
      </c>
    </row>
    <row r="2" spans="1:12" x14ac:dyDescent="0.2">
      <c r="A2" t="s">
        <v>12</v>
      </c>
      <c r="B2" t="s">
        <v>13</v>
      </c>
      <c r="C2" t="s">
        <v>224</v>
      </c>
      <c r="D2" s="12" t="s">
        <v>225</v>
      </c>
      <c r="E2" t="s">
        <v>226</v>
      </c>
      <c r="F2">
        <v>902</v>
      </c>
      <c r="G2">
        <v>342</v>
      </c>
      <c r="H2">
        <v>898</v>
      </c>
      <c r="I2">
        <v>5</v>
      </c>
      <c r="J2">
        <v>2</v>
      </c>
      <c r="K2">
        <v>0</v>
      </c>
    </row>
    <row r="3" spans="1:12" x14ac:dyDescent="0.2">
      <c r="A3" t="s">
        <v>12</v>
      </c>
      <c r="B3" t="s">
        <v>17</v>
      </c>
      <c r="C3" t="s">
        <v>227</v>
      </c>
      <c r="D3" s="12" t="s">
        <v>228</v>
      </c>
      <c r="E3" t="s">
        <v>229</v>
      </c>
      <c r="F3">
        <v>917</v>
      </c>
      <c r="G3">
        <v>364</v>
      </c>
      <c r="H3">
        <v>891</v>
      </c>
      <c r="I3">
        <v>5</v>
      </c>
      <c r="J3">
        <v>3</v>
      </c>
      <c r="K3">
        <v>0</v>
      </c>
    </row>
    <row r="4" spans="1:12" x14ac:dyDescent="0.2">
      <c r="A4" t="s">
        <v>12</v>
      </c>
      <c r="B4" t="s">
        <v>21</v>
      </c>
      <c r="C4" t="s">
        <v>230</v>
      </c>
      <c r="D4" t="s">
        <v>231</v>
      </c>
      <c r="E4" t="s">
        <v>232</v>
      </c>
      <c r="F4">
        <v>896</v>
      </c>
      <c r="G4">
        <v>141</v>
      </c>
      <c r="H4">
        <v>903</v>
      </c>
      <c r="I4">
        <v>5</v>
      </c>
      <c r="J4">
        <v>5</v>
      </c>
      <c r="K4">
        <v>0</v>
      </c>
    </row>
    <row r="5" spans="1:12" x14ac:dyDescent="0.2">
      <c r="A5" t="s">
        <v>12</v>
      </c>
      <c r="B5" t="s">
        <v>25</v>
      </c>
      <c r="C5" t="s">
        <v>233</v>
      </c>
      <c r="D5" t="s">
        <v>234</v>
      </c>
      <c r="E5" t="s">
        <v>235</v>
      </c>
      <c r="F5">
        <v>904</v>
      </c>
      <c r="G5">
        <v>142</v>
      </c>
      <c r="H5">
        <v>910</v>
      </c>
      <c r="I5">
        <v>5</v>
      </c>
      <c r="J5">
        <v>5</v>
      </c>
      <c r="K5">
        <v>0</v>
      </c>
    </row>
    <row r="6" spans="1:12" ht="256" x14ac:dyDescent="0.2">
      <c r="A6" t="s">
        <v>29</v>
      </c>
      <c r="B6" s="10" t="s">
        <v>30</v>
      </c>
      <c r="C6" s="10" t="s">
        <v>236</v>
      </c>
      <c r="D6" s="10" t="s">
        <v>237</v>
      </c>
      <c r="E6" s="10" t="s">
        <v>238</v>
      </c>
      <c r="F6">
        <v>1013</v>
      </c>
      <c r="G6">
        <v>339</v>
      </c>
      <c r="H6">
        <v>966</v>
      </c>
      <c r="I6">
        <v>4</v>
      </c>
      <c r="J6">
        <v>2</v>
      </c>
      <c r="K6">
        <v>3</v>
      </c>
    </row>
    <row r="7" spans="1:12" ht="409.6" x14ac:dyDescent="0.2">
      <c r="A7" t="s">
        <v>29</v>
      </c>
      <c r="B7" s="10" t="s">
        <v>34</v>
      </c>
      <c r="C7" s="10" t="s">
        <v>239</v>
      </c>
      <c r="D7" s="10" t="s">
        <v>240</v>
      </c>
      <c r="E7" s="10" t="s">
        <v>241</v>
      </c>
      <c r="F7">
        <v>1185</v>
      </c>
      <c r="G7">
        <v>356</v>
      </c>
      <c r="H7">
        <v>1114</v>
      </c>
      <c r="I7">
        <v>4</v>
      </c>
      <c r="J7">
        <v>1</v>
      </c>
      <c r="K7">
        <v>3</v>
      </c>
    </row>
    <row r="8" spans="1:12" ht="409.6" x14ac:dyDescent="0.2">
      <c r="A8" t="s">
        <v>29</v>
      </c>
      <c r="B8" s="10" t="s">
        <v>38</v>
      </c>
      <c r="C8" s="10" t="s">
        <v>242</v>
      </c>
      <c r="D8" s="10" t="s">
        <v>243</v>
      </c>
      <c r="E8" s="10" t="s">
        <v>244</v>
      </c>
      <c r="F8">
        <v>1103</v>
      </c>
      <c r="G8">
        <v>262</v>
      </c>
      <c r="H8">
        <v>1067</v>
      </c>
      <c r="I8">
        <v>4</v>
      </c>
      <c r="J8">
        <v>2</v>
      </c>
      <c r="K8">
        <v>2</v>
      </c>
    </row>
    <row r="9" spans="1:12" ht="409.6" x14ac:dyDescent="0.2">
      <c r="A9" t="s">
        <v>29</v>
      </c>
      <c r="B9" s="10" t="s">
        <v>42</v>
      </c>
      <c r="C9" s="10" t="s">
        <v>245</v>
      </c>
      <c r="D9" s="10" t="s">
        <v>246</v>
      </c>
      <c r="E9" s="10" t="s">
        <v>247</v>
      </c>
      <c r="F9">
        <v>1129</v>
      </c>
      <c r="G9">
        <v>420</v>
      </c>
      <c r="H9">
        <v>1213</v>
      </c>
      <c r="I9">
        <v>3</v>
      </c>
      <c r="J9">
        <v>1</v>
      </c>
      <c r="K9">
        <v>1</v>
      </c>
    </row>
    <row r="10" spans="1:12" ht="409.6" x14ac:dyDescent="0.2">
      <c r="A10" t="s">
        <v>46</v>
      </c>
      <c r="B10" s="10" t="s">
        <v>47</v>
      </c>
      <c r="C10" s="10" t="s">
        <v>248</v>
      </c>
      <c r="D10" s="10" t="s">
        <v>249</v>
      </c>
      <c r="E10" s="10" t="s">
        <v>250</v>
      </c>
      <c r="F10">
        <v>978</v>
      </c>
      <c r="G10">
        <v>217</v>
      </c>
      <c r="H10">
        <v>1052</v>
      </c>
      <c r="I10">
        <v>4</v>
      </c>
      <c r="J10">
        <v>2</v>
      </c>
      <c r="K10">
        <v>1</v>
      </c>
    </row>
    <row r="11" spans="1:12" ht="409.6" x14ac:dyDescent="0.2">
      <c r="A11" t="s">
        <v>46</v>
      </c>
      <c r="B11" s="10" t="s">
        <v>51</v>
      </c>
      <c r="C11" s="10" t="s">
        <v>251</v>
      </c>
      <c r="D11" s="10" t="s">
        <v>252</v>
      </c>
      <c r="E11" s="10" t="s">
        <v>253</v>
      </c>
      <c r="F11">
        <v>1046</v>
      </c>
      <c r="G11">
        <v>454</v>
      </c>
      <c r="H11">
        <v>1121</v>
      </c>
      <c r="I11">
        <v>4</v>
      </c>
      <c r="J11">
        <v>1</v>
      </c>
      <c r="K11">
        <v>1</v>
      </c>
    </row>
    <row r="12" spans="1:12" ht="409.6" x14ac:dyDescent="0.2">
      <c r="A12" t="s">
        <v>46</v>
      </c>
      <c r="B12" s="10" t="s">
        <v>55</v>
      </c>
      <c r="C12" s="10" t="s">
        <v>254</v>
      </c>
      <c r="D12" s="10" t="s">
        <v>255</v>
      </c>
      <c r="E12" s="10" t="s">
        <v>256</v>
      </c>
      <c r="F12">
        <v>1127</v>
      </c>
      <c r="G12">
        <v>437</v>
      </c>
      <c r="H12">
        <v>1100</v>
      </c>
      <c r="I12">
        <v>3</v>
      </c>
      <c r="J12">
        <v>1</v>
      </c>
      <c r="K12">
        <v>1</v>
      </c>
    </row>
    <row r="13" spans="1:12" ht="176" x14ac:dyDescent="0.2">
      <c r="A13" t="s">
        <v>46</v>
      </c>
      <c r="B13" s="10" t="s">
        <v>59</v>
      </c>
      <c r="C13" s="10" t="s">
        <v>257</v>
      </c>
      <c r="D13" s="10" t="s">
        <v>258</v>
      </c>
      <c r="E13" s="10" t="s">
        <v>259</v>
      </c>
      <c r="F13">
        <v>926</v>
      </c>
      <c r="G13">
        <v>161</v>
      </c>
      <c r="H13">
        <v>964</v>
      </c>
      <c r="I13">
        <v>4</v>
      </c>
      <c r="J13">
        <v>4</v>
      </c>
      <c r="K13">
        <v>2</v>
      </c>
    </row>
    <row r="14" spans="1:12" ht="409.6" x14ac:dyDescent="0.2">
      <c r="A14" t="s">
        <v>63</v>
      </c>
      <c r="B14" t="s">
        <v>64</v>
      </c>
      <c r="C14" s="10" t="s">
        <v>260</v>
      </c>
      <c r="D14" s="10" t="s">
        <v>261</v>
      </c>
      <c r="E14" s="10" t="s">
        <v>262</v>
      </c>
      <c r="F14">
        <v>1305</v>
      </c>
      <c r="G14">
        <v>594</v>
      </c>
      <c r="H14">
        <v>1252</v>
      </c>
      <c r="I14">
        <v>4</v>
      </c>
      <c r="J14">
        <v>2</v>
      </c>
      <c r="K14">
        <v>1</v>
      </c>
    </row>
    <row r="15" spans="1:12" ht="350" x14ac:dyDescent="0.2">
      <c r="A15" t="s">
        <v>63</v>
      </c>
      <c r="B15" t="s">
        <v>68</v>
      </c>
      <c r="C15" s="10" t="s">
        <v>263</v>
      </c>
      <c r="D15" s="10" t="s">
        <v>264</v>
      </c>
      <c r="E15" s="10" t="s">
        <v>265</v>
      </c>
      <c r="F15">
        <v>1086</v>
      </c>
      <c r="G15">
        <v>293</v>
      </c>
      <c r="H15">
        <v>987</v>
      </c>
      <c r="I15">
        <v>4</v>
      </c>
      <c r="J15">
        <v>2</v>
      </c>
      <c r="K15">
        <v>3</v>
      </c>
    </row>
    <row r="16" spans="1:12" ht="409.6" x14ac:dyDescent="0.2">
      <c r="A16" t="s">
        <v>63</v>
      </c>
      <c r="B16" t="s">
        <v>72</v>
      </c>
      <c r="C16" s="10" t="s">
        <v>266</v>
      </c>
      <c r="D16" s="10" t="s">
        <v>267</v>
      </c>
      <c r="E16" s="10" t="s">
        <v>268</v>
      </c>
      <c r="F16">
        <v>1311</v>
      </c>
      <c r="G16">
        <v>622</v>
      </c>
      <c r="H16">
        <v>1399</v>
      </c>
      <c r="I16">
        <v>4</v>
      </c>
      <c r="J16">
        <v>3</v>
      </c>
      <c r="K16">
        <v>3</v>
      </c>
    </row>
    <row r="17" spans="1:11" ht="409.6" x14ac:dyDescent="0.2">
      <c r="A17" t="s">
        <v>63</v>
      </c>
      <c r="B17" t="s">
        <v>76</v>
      </c>
      <c r="C17" s="10" t="s">
        <v>269</v>
      </c>
      <c r="D17" s="10" t="s">
        <v>270</v>
      </c>
      <c r="E17" s="10" t="s">
        <v>271</v>
      </c>
      <c r="F17">
        <v>1166</v>
      </c>
      <c r="G17">
        <v>578</v>
      </c>
      <c r="H17">
        <v>1060</v>
      </c>
      <c r="I17">
        <v>3</v>
      </c>
      <c r="J17">
        <v>3</v>
      </c>
      <c r="K17">
        <v>3</v>
      </c>
    </row>
    <row r="20" spans="1:11" x14ac:dyDescent="0.2">
      <c r="E20" s="2" t="s">
        <v>272</v>
      </c>
      <c r="F20" s="2">
        <f>AVERAGE(F2:F17)</f>
        <v>1062.125</v>
      </c>
      <c r="G20" s="2">
        <f>AVERAGE(G2:G17)</f>
        <v>357.625</v>
      </c>
      <c r="H20" s="2">
        <f>AVERAGE(H2:H17)</f>
        <v>1056.0625</v>
      </c>
      <c r="I20">
        <f>AVERAGE(I2:I17)</f>
        <v>4.0625</v>
      </c>
      <c r="J20">
        <f t="shared" ref="J20:K20" si="0">AVERAGE(J2:J17)</f>
        <v>2.4375</v>
      </c>
      <c r="K20">
        <f t="shared" si="0"/>
        <v>1.5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EC2D0-A482-2049-AB96-B4EC70DAD606}">
  <dimension ref="A1:M81"/>
  <sheetViews>
    <sheetView tabSelected="1" workbookViewId="0">
      <selection activeCell="M29" sqref="M29"/>
    </sheetView>
  </sheetViews>
  <sheetFormatPr baseColWidth="10" defaultRowHeight="15" x14ac:dyDescent="0.2"/>
  <cols>
    <col min="1" max="1" width="20.6640625" bestFit="1" customWidth="1"/>
    <col min="2" max="2" width="22.1640625" bestFit="1" customWidth="1"/>
    <col min="3" max="3" width="24.6640625" bestFit="1" customWidth="1"/>
    <col min="6" max="6" width="28.5" bestFit="1" customWidth="1"/>
    <col min="7" max="7" width="21.33203125" bestFit="1" customWidth="1"/>
    <col min="8" max="8" width="22.83203125" bestFit="1" customWidth="1"/>
    <col min="11" max="11" width="28.5" bestFit="1" customWidth="1"/>
    <col min="12" max="12" width="21.33203125" bestFit="1" customWidth="1"/>
    <col min="13" max="13" width="25.6640625" bestFit="1" customWidth="1"/>
  </cols>
  <sheetData>
    <row r="1" spans="1:13" x14ac:dyDescent="0.2">
      <c r="A1" s="1" t="s">
        <v>8</v>
      </c>
      <c r="B1" s="1" t="s">
        <v>9</v>
      </c>
      <c r="C1" s="1" t="s">
        <v>10</v>
      </c>
    </row>
    <row r="2" spans="1:13" x14ac:dyDescent="0.2">
      <c r="A2">
        <v>5</v>
      </c>
      <c r="B2">
        <v>1</v>
      </c>
      <c r="C2">
        <v>3</v>
      </c>
    </row>
    <row r="3" spans="1:13" x14ac:dyDescent="0.2">
      <c r="A3">
        <v>4</v>
      </c>
      <c r="B3">
        <v>2</v>
      </c>
      <c r="C3">
        <v>0</v>
      </c>
    </row>
    <row r="4" spans="1:13" x14ac:dyDescent="0.2">
      <c r="A4">
        <v>5</v>
      </c>
      <c r="B4">
        <v>5</v>
      </c>
      <c r="C4">
        <v>1</v>
      </c>
    </row>
    <row r="5" spans="1:13" x14ac:dyDescent="0.2">
      <c r="A5">
        <v>5</v>
      </c>
      <c r="B5">
        <v>5</v>
      </c>
      <c r="C5">
        <v>1</v>
      </c>
      <c r="F5" t="s">
        <v>273</v>
      </c>
      <c r="K5" t="s">
        <v>273</v>
      </c>
    </row>
    <row r="6" spans="1:13" ht="16" thickBot="1" x14ac:dyDescent="0.25">
      <c r="A6">
        <v>5</v>
      </c>
      <c r="B6">
        <v>4</v>
      </c>
      <c r="C6">
        <v>3</v>
      </c>
    </row>
    <row r="7" spans="1:13" x14ac:dyDescent="0.2">
      <c r="A7">
        <v>5</v>
      </c>
      <c r="B7">
        <v>3</v>
      </c>
      <c r="C7">
        <v>1</v>
      </c>
      <c r="F7" s="5"/>
      <c r="G7" s="5" t="s">
        <v>8</v>
      </c>
      <c r="H7" s="5" t="s">
        <v>9</v>
      </c>
      <c r="K7" s="5"/>
      <c r="L7" s="5" t="s">
        <v>8</v>
      </c>
      <c r="M7" s="5" t="s">
        <v>10</v>
      </c>
    </row>
    <row r="8" spans="1:13" x14ac:dyDescent="0.2">
      <c r="A8">
        <v>4</v>
      </c>
      <c r="B8">
        <v>2</v>
      </c>
      <c r="C8">
        <v>2</v>
      </c>
      <c r="F8" s="3" t="s">
        <v>276</v>
      </c>
      <c r="G8" s="6">
        <v>4.3499999999999996</v>
      </c>
      <c r="H8" s="6">
        <v>3.1625000000000001</v>
      </c>
      <c r="K8" s="3" t="s">
        <v>276</v>
      </c>
      <c r="L8" s="6">
        <v>4.3499999999999996</v>
      </c>
      <c r="M8" s="6">
        <v>2.0375000000000001</v>
      </c>
    </row>
    <row r="9" spans="1:13" x14ac:dyDescent="0.2">
      <c r="A9">
        <v>5</v>
      </c>
      <c r="B9">
        <v>4</v>
      </c>
      <c r="C9">
        <v>4</v>
      </c>
      <c r="F9" s="3" t="s">
        <v>277</v>
      </c>
      <c r="G9" s="6">
        <v>0.43291139240506388</v>
      </c>
      <c r="H9" s="6">
        <v>1.9606012658227854</v>
      </c>
      <c r="K9" s="3" t="s">
        <v>277</v>
      </c>
      <c r="L9" s="6">
        <v>0.43291139240506388</v>
      </c>
      <c r="M9" s="6">
        <v>2.492246835443038</v>
      </c>
    </row>
    <row r="10" spans="1:13" x14ac:dyDescent="0.2">
      <c r="A10">
        <v>5</v>
      </c>
      <c r="B10">
        <v>5</v>
      </c>
      <c r="C10">
        <v>0</v>
      </c>
      <c r="F10" s="3" t="s">
        <v>278</v>
      </c>
      <c r="G10" s="6">
        <v>80</v>
      </c>
      <c r="H10" s="6">
        <v>80</v>
      </c>
      <c r="K10" s="3" t="s">
        <v>278</v>
      </c>
      <c r="L10" s="6">
        <v>80</v>
      </c>
      <c r="M10" s="6">
        <v>80</v>
      </c>
    </row>
    <row r="11" spans="1:13" x14ac:dyDescent="0.2">
      <c r="A11">
        <v>5</v>
      </c>
      <c r="B11">
        <v>3</v>
      </c>
      <c r="C11">
        <v>5</v>
      </c>
      <c r="F11" s="3" t="s">
        <v>279</v>
      </c>
      <c r="G11" s="6">
        <v>0.22601885176615152</v>
      </c>
      <c r="H11" s="6"/>
      <c r="K11" s="3" t="s">
        <v>279</v>
      </c>
      <c r="L11" s="6">
        <v>-0.26871163318983315</v>
      </c>
      <c r="M11" s="6"/>
    </row>
    <row r="12" spans="1:13" x14ac:dyDescent="0.2">
      <c r="A12">
        <v>5</v>
      </c>
      <c r="B12">
        <v>5</v>
      </c>
      <c r="C12">
        <v>5</v>
      </c>
      <c r="F12" s="3" t="s">
        <v>280</v>
      </c>
      <c r="G12" s="6">
        <v>0</v>
      </c>
      <c r="H12" s="6"/>
      <c r="K12" s="3" t="s">
        <v>280</v>
      </c>
      <c r="L12" s="6">
        <v>0</v>
      </c>
      <c r="M12" s="6"/>
    </row>
    <row r="13" spans="1:13" x14ac:dyDescent="0.2">
      <c r="A13">
        <v>4</v>
      </c>
      <c r="B13">
        <v>3</v>
      </c>
      <c r="C13">
        <v>4</v>
      </c>
      <c r="F13" s="3" t="s">
        <v>281</v>
      </c>
      <c r="G13" s="6">
        <v>79</v>
      </c>
      <c r="H13" s="6"/>
      <c r="K13" s="3" t="s">
        <v>281</v>
      </c>
      <c r="L13" s="6">
        <v>79</v>
      </c>
      <c r="M13" s="6"/>
    </row>
    <row r="14" spans="1:13" x14ac:dyDescent="0.2">
      <c r="A14">
        <v>4</v>
      </c>
      <c r="B14">
        <v>4</v>
      </c>
      <c r="C14">
        <v>1</v>
      </c>
      <c r="F14" s="3" t="s">
        <v>282</v>
      </c>
      <c r="G14" s="6">
        <v>7.5538615508713081</v>
      </c>
      <c r="H14" s="6"/>
      <c r="K14" s="3" t="s">
        <v>282</v>
      </c>
      <c r="L14" s="6">
        <v>11.082198610854263</v>
      </c>
      <c r="M14" s="6"/>
    </row>
    <row r="15" spans="1:13" x14ac:dyDescent="0.2">
      <c r="A15">
        <v>5</v>
      </c>
      <c r="B15">
        <v>3</v>
      </c>
      <c r="C15">
        <v>4</v>
      </c>
      <c r="F15" s="3" t="s">
        <v>283</v>
      </c>
      <c r="G15" s="6">
        <v>3.2069720647649706E-11</v>
      </c>
      <c r="H15" s="6"/>
      <c r="K15" s="3" t="s">
        <v>283</v>
      </c>
      <c r="L15" s="6">
        <v>4.6321951630314851E-18</v>
      </c>
      <c r="M15" s="6"/>
    </row>
    <row r="16" spans="1:13" x14ac:dyDescent="0.2">
      <c r="A16">
        <v>4</v>
      </c>
      <c r="B16">
        <v>3</v>
      </c>
      <c r="C16">
        <v>5</v>
      </c>
      <c r="F16" s="3" t="s">
        <v>284</v>
      </c>
      <c r="G16" s="6">
        <v>1.6643714091365507</v>
      </c>
      <c r="H16" s="6"/>
      <c r="K16" s="3" t="s">
        <v>284</v>
      </c>
      <c r="L16" s="6">
        <v>1.6643714091365507</v>
      </c>
      <c r="M16" s="6"/>
    </row>
    <row r="17" spans="1:13" x14ac:dyDescent="0.2">
      <c r="A17">
        <v>4</v>
      </c>
      <c r="B17">
        <v>4</v>
      </c>
      <c r="C17">
        <v>5</v>
      </c>
      <c r="F17" s="3" t="s">
        <v>285</v>
      </c>
      <c r="G17" s="13">
        <v>6.4139441295299412E-11</v>
      </c>
      <c r="H17" s="6"/>
      <c r="K17" s="3" t="s">
        <v>285</v>
      </c>
      <c r="L17" s="13">
        <v>9.2643903260629703E-18</v>
      </c>
      <c r="M17" s="13"/>
    </row>
    <row r="18" spans="1:13" ht="16" thickBot="1" x14ac:dyDescent="0.25">
      <c r="A18" s="11">
        <v>5</v>
      </c>
      <c r="B18" s="11">
        <v>5</v>
      </c>
      <c r="C18" s="11">
        <v>0</v>
      </c>
      <c r="F18" s="4" t="s">
        <v>286</v>
      </c>
      <c r="G18" s="7">
        <v>1.9904502102301287</v>
      </c>
      <c r="H18" s="7"/>
      <c r="K18" s="4" t="s">
        <v>286</v>
      </c>
      <c r="L18" s="7">
        <v>1.9904502102301287</v>
      </c>
      <c r="M18" s="7"/>
    </row>
    <row r="19" spans="1:13" x14ac:dyDescent="0.2">
      <c r="A19" s="11">
        <v>5</v>
      </c>
      <c r="B19" s="11">
        <v>4</v>
      </c>
      <c r="C19" s="11">
        <v>0</v>
      </c>
    </row>
    <row r="20" spans="1:13" x14ac:dyDescent="0.2">
      <c r="A20" s="11">
        <v>5</v>
      </c>
      <c r="B20" s="11">
        <v>5</v>
      </c>
      <c r="C20" s="11">
        <v>0</v>
      </c>
    </row>
    <row r="21" spans="1:13" x14ac:dyDescent="0.2">
      <c r="A21" s="11">
        <v>5</v>
      </c>
      <c r="B21" s="11">
        <v>5</v>
      </c>
      <c r="C21" s="11">
        <v>0</v>
      </c>
    </row>
    <row r="22" spans="1:13" x14ac:dyDescent="0.2">
      <c r="A22" s="11">
        <v>4</v>
      </c>
      <c r="B22" s="11">
        <v>3</v>
      </c>
      <c r="C22" s="11">
        <v>0</v>
      </c>
    </row>
    <row r="23" spans="1:13" x14ac:dyDescent="0.2">
      <c r="A23" s="11">
        <v>5</v>
      </c>
      <c r="B23" s="11">
        <v>4</v>
      </c>
      <c r="C23" s="11">
        <v>3</v>
      </c>
      <c r="G23">
        <f>SQRT(G9)</f>
        <v>0.65796002340952586</v>
      </c>
      <c r="H23">
        <f>SQRT(H9)</f>
        <v>1.4002147213276916</v>
      </c>
      <c r="L23">
        <f>SQRT(L9)</f>
        <v>0.65796002340952586</v>
      </c>
      <c r="M23">
        <f>SQRT(M9)</f>
        <v>1.578685160329012</v>
      </c>
    </row>
    <row r="24" spans="1:13" x14ac:dyDescent="0.2">
      <c r="A24" s="11">
        <v>5</v>
      </c>
      <c r="B24" s="11">
        <v>4</v>
      </c>
      <c r="C24" s="11">
        <v>4</v>
      </c>
    </row>
    <row r="25" spans="1:13" x14ac:dyDescent="0.2">
      <c r="A25" s="11">
        <v>4</v>
      </c>
      <c r="B25" s="11">
        <v>4</v>
      </c>
      <c r="C25" s="11">
        <v>2</v>
      </c>
    </row>
    <row r="26" spans="1:13" x14ac:dyDescent="0.2">
      <c r="A26" s="11">
        <v>4</v>
      </c>
      <c r="B26" s="11">
        <v>4</v>
      </c>
      <c r="C26" s="11">
        <v>2</v>
      </c>
    </row>
    <row r="27" spans="1:13" x14ac:dyDescent="0.2">
      <c r="A27" s="11">
        <v>4</v>
      </c>
      <c r="B27" s="11">
        <v>5</v>
      </c>
      <c r="C27" s="11">
        <v>2</v>
      </c>
    </row>
    <row r="28" spans="1:13" x14ac:dyDescent="0.2">
      <c r="A28" s="11">
        <v>4</v>
      </c>
      <c r="B28" s="11">
        <v>4</v>
      </c>
      <c r="C28" s="11">
        <v>4</v>
      </c>
    </row>
    <row r="29" spans="1:13" x14ac:dyDescent="0.2">
      <c r="A29" s="11">
        <v>4</v>
      </c>
      <c r="B29" s="11">
        <v>3</v>
      </c>
      <c r="C29" s="11">
        <v>4</v>
      </c>
    </row>
    <row r="30" spans="1:13" x14ac:dyDescent="0.2">
      <c r="A30" s="11">
        <v>5</v>
      </c>
      <c r="B30" s="11">
        <v>3</v>
      </c>
      <c r="C30" s="11">
        <v>1</v>
      </c>
    </row>
    <row r="31" spans="1:13" x14ac:dyDescent="0.2">
      <c r="A31" s="11">
        <v>4</v>
      </c>
      <c r="B31" s="11">
        <v>1</v>
      </c>
      <c r="C31" s="11">
        <v>1</v>
      </c>
    </row>
    <row r="32" spans="1:13" x14ac:dyDescent="0.2">
      <c r="A32" s="11">
        <v>4</v>
      </c>
      <c r="B32" s="11">
        <v>3</v>
      </c>
      <c r="C32" s="11">
        <v>2</v>
      </c>
    </row>
    <row r="33" spans="1:3" x14ac:dyDescent="0.2">
      <c r="A33" s="11">
        <v>4</v>
      </c>
      <c r="B33" s="11">
        <v>4</v>
      </c>
      <c r="C33" s="11">
        <v>4</v>
      </c>
    </row>
    <row r="34" spans="1:3" x14ac:dyDescent="0.2">
      <c r="A34">
        <v>5</v>
      </c>
      <c r="B34">
        <v>5</v>
      </c>
      <c r="C34">
        <v>0</v>
      </c>
    </row>
    <row r="35" spans="1:3" x14ac:dyDescent="0.2">
      <c r="A35">
        <v>5</v>
      </c>
      <c r="B35">
        <v>0</v>
      </c>
      <c r="C35">
        <v>0</v>
      </c>
    </row>
    <row r="36" spans="1:3" x14ac:dyDescent="0.2">
      <c r="A36">
        <v>5</v>
      </c>
      <c r="B36">
        <v>5</v>
      </c>
      <c r="C36">
        <v>0</v>
      </c>
    </row>
    <row r="37" spans="1:3" x14ac:dyDescent="0.2">
      <c r="A37">
        <v>5</v>
      </c>
      <c r="B37">
        <v>0</v>
      </c>
      <c r="C37">
        <v>5</v>
      </c>
    </row>
    <row r="38" spans="1:3" x14ac:dyDescent="0.2">
      <c r="A38">
        <v>5</v>
      </c>
      <c r="B38">
        <v>0</v>
      </c>
      <c r="C38">
        <v>0</v>
      </c>
    </row>
    <row r="39" spans="1:3" x14ac:dyDescent="0.2">
      <c r="A39">
        <v>5</v>
      </c>
      <c r="B39">
        <v>3</v>
      </c>
      <c r="C39">
        <v>3</v>
      </c>
    </row>
    <row r="40" spans="1:3" x14ac:dyDescent="0.2">
      <c r="A40">
        <v>5</v>
      </c>
      <c r="B40">
        <v>4</v>
      </c>
      <c r="C40">
        <v>0</v>
      </c>
    </row>
    <row r="41" spans="1:3" x14ac:dyDescent="0.2">
      <c r="A41">
        <v>4</v>
      </c>
      <c r="B41">
        <v>3</v>
      </c>
      <c r="C41">
        <v>2</v>
      </c>
    </row>
    <row r="42" spans="1:3" x14ac:dyDescent="0.2">
      <c r="A42">
        <v>4</v>
      </c>
      <c r="B42">
        <v>1</v>
      </c>
      <c r="C42">
        <v>1</v>
      </c>
    </row>
    <row r="43" spans="1:3" x14ac:dyDescent="0.2">
      <c r="A43">
        <v>5</v>
      </c>
      <c r="B43">
        <v>2</v>
      </c>
      <c r="C43">
        <v>2</v>
      </c>
    </row>
    <row r="44" spans="1:3" x14ac:dyDescent="0.2">
      <c r="A44">
        <v>4</v>
      </c>
      <c r="B44">
        <v>2</v>
      </c>
      <c r="C44">
        <v>4</v>
      </c>
    </row>
    <row r="45" spans="1:3" x14ac:dyDescent="0.2">
      <c r="A45">
        <v>4</v>
      </c>
      <c r="B45">
        <v>3</v>
      </c>
      <c r="C45">
        <v>4</v>
      </c>
    </row>
    <row r="46" spans="1:3" x14ac:dyDescent="0.2">
      <c r="A46">
        <v>4</v>
      </c>
      <c r="B46">
        <v>4</v>
      </c>
      <c r="C46">
        <v>4</v>
      </c>
    </row>
    <row r="47" spans="1:3" x14ac:dyDescent="0.2">
      <c r="A47">
        <v>2</v>
      </c>
      <c r="B47">
        <v>2</v>
      </c>
      <c r="C47">
        <v>2</v>
      </c>
    </row>
    <row r="48" spans="1:3" x14ac:dyDescent="0.2">
      <c r="A48">
        <v>3</v>
      </c>
      <c r="B48">
        <v>3</v>
      </c>
      <c r="C48">
        <v>3</v>
      </c>
    </row>
    <row r="49" spans="1:3" x14ac:dyDescent="0.2">
      <c r="A49">
        <v>4</v>
      </c>
      <c r="B49">
        <v>4</v>
      </c>
      <c r="C49">
        <v>3</v>
      </c>
    </row>
    <row r="50" spans="1:3" x14ac:dyDescent="0.2">
      <c r="A50">
        <v>5</v>
      </c>
      <c r="B50">
        <v>5</v>
      </c>
      <c r="C50">
        <v>0</v>
      </c>
    </row>
    <row r="51" spans="1:3" x14ac:dyDescent="0.2">
      <c r="A51">
        <v>5</v>
      </c>
      <c r="B51">
        <v>5</v>
      </c>
      <c r="C51">
        <v>0</v>
      </c>
    </row>
    <row r="52" spans="1:3" x14ac:dyDescent="0.2">
      <c r="A52">
        <v>5</v>
      </c>
      <c r="B52">
        <v>3</v>
      </c>
      <c r="C52">
        <v>0</v>
      </c>
    </row>
    <row r="53" spans="1:3" x14ac:dyDescent="0.2">
      <c r="A53">
        <v>5</v>
      </c>
      <c r="B53">
        <v>0</v>
      </c>
      <c r="C53">
        <v>2</v>
      </c>
    </row>
    <row r="54" spans="1:3" x14ac:dyDescent="0.2">
      <c r="A54">
        <v>5</v>
      </c>
      <c r="B54">
        <v>4</v>
      </c>
      <c r="C54">
        <v>1</v>
      </c>
    </row>
    <row r="55" spans="1:3" x14ac:dyDescent="0.2">
      <c r="A55">
        <v>4</v>
      </c>
      <c r="B55">
        <v>3</v>
      </c>
      <c r="C55">
        <v>4</v>
      </c>
    </row>
    <row r="56" spans="1:3" x14ac:dyDescent="0.2">
      <c r="A56">
        <v>3</v>
      </c>
      <c r="B56">
        <v>5</v>
      </c>
      <c r="C56">
        <v>3</v>
      </c>
    </row>
    <row r="57" spans="1:3" x14ac:dyDescent="0.2">
      <c r="A57">
        <v>4</v>
      </c>
      <c r="B57">
        <v>5</v>
      </c>
      <c r="C57">
        <v>3</v>
      </c>
    </row>
    <row r="58" spans="1:3" x14ac:dyDescent="0.2">
      <c r="A58">
        <v>5</v>
      </c>
      <c r="B58">
        <v>3</v>
      </c>
      <c r="C58">
        <v>2</v>
      </c>
    </row>
    <row r="59" spans="1:3" x14ac:dyDescent="0.2">
      <c r="A59">
        <v>4</v>
      </c>
      <c r="B59">
        <v>4</v>
      </c>
      <c r="C59">
        <v>2</v>
      </c>
    </row>
    <row r="60" spans="1:3" x14ac:dyDescent="0.2">
      <c r="A60">
        <v>4</v>
      </c>
      <c r="B60">
        <v>3</v>
      </c>
      <c r="C60">
        <v>2</v>
      </c>
    </row>
    <row r="61" spans="1:3" x14ac:dyDescent="0.2">
      <c r="A61">
        <v>4</v>
      </c>
      <c r="B61">
        <v>3</v>
      </c>
      <c r="C61">
        <v>2</v>
      </c>
    </row>
    <row r="62" spans="1:3" x14ac:dyDescent="0.2">
      <c r="A62">
        <v>4</v>
      </c>
      <c r="B62">
        <v>3</v>
      </c>
      <c r="C62">
        <v>3</v>
      </c>
    </row>
    <row r="63" spans="1:3" x14ac:dyDescent="0.2">
      <c r="A63">
        <v>4</v>
      </c>
      <c r="B63">
        <v>4</v>
      </c>
      <c r="C63">
        <v>4</v>
      </c>
    </row>
    <row r="64" spans="1:3" x14ac:dyDescent="0.2">
      <c r="A64">
        <v>4</v>
      </c>
      <c r="B64">
        <v>3</v>
      </c>
      <c r="C64">
        <v>3</v>
      </c>
    </row>
    <row r="65" spans="1:3" x14ac:dyDescent="0.2">
      <c r="A65">
        <v>4</v>
      </c>
      <c r="B65">
        <v>3</v>
      </c>
      <c r="C65">
        <v>2</v>
      </c>
    </row>
    <row r="66" spans="1:3" x14ac:dyDescent="0.2">
      <c r="A66">
        <v>5</v>
      </c>
      <c r="B66">
        <v>2</v>
      </c>
      <c r="C66">
        <v>0</v>
      </c>
    </row>
    <row r="67" spans="1:3" x14ac:dyDescent="0.2">
      <c r="A67">
        <v>5</v>
      </c>
      <c r="B67">
        <v>3</v>
      </c>
      <c r="C67">
        <v>0</v>
      </c>
    </row>
    <row r="68" spans="1:3" x14ac:dyDescent="0.2">
      <c r="A68">
        <v>5</v>
      </c>
      <c r="B68">
        <v>5</v>
      </c>
      <c r="C68">
        <v>0</v>
      </c>
    </row>
    <row r="69" spans="1:3" x14ac:dyDescent="0.2">
      <c r="A69">
        <v>5</v>
      </c>
      <c r="B69">
        <v>5</v>
      </c>
      <c r="C69">
        <v>0</v>
      </c>
    </row>
    <row r="70" spans="1:3" x14ac:dyDescent="0.2">
      <c r="A70">
        <v>4</v>
      </c>
      <c r="B70">
        <v>2</v>
      </c>
      <c r="C70">
        <v>3</v>
      </c>
    </row>
    <row r="71" spans="1:3" x14ac:dyDescent="0.2">
      <c r="A71">
        <v>4</v>
      </c>
      <c r="B71">
        <v>1</v>
      </c>
      <c r="C71">
        <v>3</v>
      </c>
    </row>
    <row r="72" spans="1:3" x14ac:dyDescent="0.2">
      <c r="A72">
        <v>4</v>
      </c>
      <c r="B72">
        <v>2</v>
      </c>
      <c r="C72">
        <v>2</v>
      </c>
    </row>
    <row r="73" spans="1:3" x14ac:dyDescent="0.2">
      <c r="A73">
        <v>3</v>
      </c>
      <c r="B73">
        <v>1</v>
      </c>
      <c r="C73">
        <v>1</v>
      </c>
    </row>
    <row r="74" spans="1:3" x14ac:dyDescent="0.2">
      <c r="A74">
        <v>4</v>
      </c>
      <c r="B74">
        <v>2</v>
      </c>
      <c r="C74">
        <v>1</v>
      </c>
    </row>
    <row r="75" spans="1:3" x14ac:dyDescent="0.2">
      <c r="A75">
        <v>4</v>
      </c>
      <c r="B75">
        <v>1</v>
      </c>
      <c r="C75">
        <v>1</v>
      </c>
    </row>
    <row r="76" spans="1:3" x14ac:dyDescent="0.2">
      <c r="A76">
        <v>3</v>
      </c>
      <c r="B76">
        <v>1</v>
      </c>
      <c r="C76">
        <v>1</v>
      </c>
    </row>
    <row r="77" spans="1:3" x14ac:dyDescent="0.2">
      <c r="A77">
        <v>4</v>
      </c>
      <c r="B77">
        <v>4</v>
      </c>
      <c r="C77">
        <v>2</v>
      </c>
    </row>
    <row r="78" spans="1:3" x14ac:dyDescent="0.2">
      <c r="A78">
        <v>4</v>
      </c>
      <c r="B78">
        <v>2</v>
      </c>
      <c r="C78">
        <v>1</v>
      </c>
    </row>
    <row r="79" spans="1:3" x14ac:dyDescent="0.2">
      <c r="A79">
        <v>4</v>
      </c>
      <c r="B79">
        <v>2</v>
      </c>
      <c r="C79">
        <v>3</v>
      </c>
    </row>
    <row r="80" spans="1:3" x14ac:dyDescent="0.2">
      <c r="A80">
        <v>4</v>
      </c>
      <c r="B80">
        <v>3</v>
      </c>
      <c r="C80">
        <v>3</v>
      </c>
    </row>
    <row r="81" spans="1:3" x14ac:dyDescent="0.2">
      <c r="A81">
        <v>3</v>
      </c>
      <c r="B81">
        <v>3</v>
      </c>
      <c r="C81">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IBM</vt:lpstr>
      <vt:lpstr>Meta</vt:lpstr>
      <vt:lpstr>Microsoft</vt:lpstr>
      <vt:lpstr>Apple</vt:lpstr>
      <vt:lpstr>Google</vt:lpstr>
      <vt:lpstr>Consolidated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Aditya Narvekar</cp:lastModifiedBy>
  <dcterms:created xsi:type="dcterms:W3CDTF">2025-03-01T04:20:07Z</dcterms:created>
  <dcterms:modified xsi:type="dcterms:W3CDTF">2026-04-06T08:04:02Z</dcterms:modified>
</cp:coreProperties>
</file>