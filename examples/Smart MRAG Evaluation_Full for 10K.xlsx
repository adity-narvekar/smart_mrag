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adityanarvekar/Library/CloudStorage/GoogleDrive-aditya.narvekar@gmail.com/My Drive/Research/Smart MRAG/"/>
    </mc:Choice>
  </mc:AlternateContent>
  <xr:revisionPtr revIDLastSave="0" documentId="13_ncr:1_{A26D703E-431E-5F43-B9CC-7275A0D38165}" xr6:coauthVersionLast="47" xr6:coauthVersionMax="47" xr10:uidLastSave="{00000000-0000-0000-0000-000000000000}"/>
  <bookViews>
    <workbookView xWindow="160" yWindow="1240" windowWidth="29040" windowHeight="18460" activeTab="6" xr2:uid="{00000000-000D-0000-FFFF-FFFF00000000}"/>
  </bookViews>
  <sheets>
    <sheet name="Summary" sheetId="1" r:id="rId1"/>
    <sheet name="Alphabet" sheetId="2" r:id="rId2"/>
    <sheet name="Meta" sheetId="3" r:id="rId3"/>
    <sheet name="IBM" sheetId="4" r:id="rId4"/>
    <sheet name="Microsoft" sheetId="5" r:id="rId5"/>
    <sheet name="Apple" sheetId="6" r:id="rId6"/>
    <sheet name="Consolidated result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5" i="7" l="1"/>
  <c r="L25" i="7"/>
  <c r="H25" i="7"/>
  <c r="G25" i="7"/>
  <c r="J18" i="6"/>
  <c r="H18" i="6"/>
  <c r="F18" i="6"/>
  <c r="J18" i="5"/>
  <c r="H18" i="5"/>
  <c r="F18" i="5"/>
  <c r="J18" i="4"/>
  <c r="H18" i="4"/>
  <c r="F18" i="4"/>
  <c r="J18" i="3"/>
  <c r="H18" i="3"/>
  <c r="F18" i="3"/>
  <c r="J18" i="2"/>
  <c r="H18" i="2"/>
  <c r="F18" i="2"/>
</calcChain>
</file>

<file path=xl/sharedStrings.xml><?xml version="1.0" encoding="utf-8"?>
<sst xmlns="http://schemas.openxmlformats.org/spreadsheetml/2006/main" count="598" uniqueCount="350">
  <si>
    <t>Company</t>
  </si>
  <si>
    <t>Smart MRAG Avg</t>
  </si>
  <si>
    <t>Text RAG Avg</t>
  </si>
  <si>
    <t>Multimodal RAG Avg</t>
  </si>
  <si>
    <t>Best Pipeline</t>
  </si>
  <si>
    <t>Alphabet</t>
  </si>
  <si>
    <t>Smart MRAG</t>
  </si>
  <si>
    <t>Meta</t>
  </si>
  <si>
    <t>Multimodal RAG</t>
  </si>
  <si>
    <t>IBM</t>
  </si>
  <si>
    <t>Microsoft</t>
  </si>
  <si>
    <t>Apple</t>
  </si>
  <si>
    <t>OVERALL</t>
  </si>
  <si>
    <t>Q#</t>
  </si>
  <si>
    <t>Category</t>
  </si>
  <si>
    <t>Question</t>
  </si>
  <si>
    <t>Document Answer</t>
  </si>
  <si>
    <t>Smart MRAG Answer</t>
  </si>
  <si>
    <t>Smart MRAG Score</t>
  </si>
  <si>
    <t>Text RAG Answer</t>
  </si>
  <si>
    <t>Text RAG Score</t>
  </si>
  <si>
    <t>Multimodal RAG Answer</t>
  </si>
  <si>
    <t>Multimodal RAG Score</t>
  </si>
  <si>
    <t>Knowledge</t>
  </si>
  <si>
    <t>What was the goodwill of Alphabet valued at the year end of 2024?</t>
  </si>
  <si>
    <t>$31,885 million</t>
  </si>
  <si>
    <t>Alphabet's goodwill was valued at $31,885 million at the year ended December 31, 2024.</t>
  </si>
  <si>
    <t>I cannot find the answer in the document.</t>
  </si>
  <si>
    <t>I cannot find the value of goodwill at the year end of 2024 in the document.</t>
  </si>
  <si>
    <t>How much was the diluted net income per share of Alphabet for the year 2024?</t>
  </si>
  <si>
    <t>$8.04</t>
  </si>
  <si>
    <t>Alphabet's diluted net income per share for the year 2024 was $8.04.</t>
  </si>
  <si>
    <t>The diluted net income per share of Alphabet for the year 2024 was $8.04.</t>
  </si>
  <si>
    <t>What was the net cash used in investing activities of Alphabet for the year 2024?</t>
  </si>
  <si>
    <t>$(45,536) million</t>
  </si>
  <si>
    <t>Alphabet's net cash used in investing activities for the year 2024 was $45,536 million.</t>
  </si>
  <si>
    <t>The net cash used in investing activities of Alphabet for the year 2024 was $(45,536) million.</t>
  </si>
  <si>
    <t>The net cash used in investing activities for Alphabet in the year 2024 was $45,536 million.</t>
  </si>
  <si>
    <t>How much was the income before income taxes of Alphabet for the year 2024?</t>
  </si>
  <si>
    <t>$119,815 million</t>
  </si>
  <si>
    <t>Alphabet's income before income taxes for the year 2024 was $119,815 million.</t>
  </si>
  <si>
    <t>The income before income taxes of Alphabet for the year 2024 was $119,815 million.</t>
  </si>
  <si>
    <t>Reasoning</t>
  </si>
  <si>
    <t>How much was the percentage change in the comprehensive income of Alphabet for the years 2024, 2023 and 2022?</t>
  </si>
  <si>
    <t>42.6% (2023 vs 2022), 29.5% (2024 vs 2023)</t>
  </si>
  <si>
    <t>Correct values and YoY % (approx. 42.6%, 29.5%). 2022: $53,992M, 2023: $76,996M, 2024: $99,720M.</t>
  </si>
  <si>
    <t>To calculate the percentage change in comprehensive income for Alphabet Inc. for the years 2023, 2024, and 2025, we can use the formula:
\[
\text{Percentage Change} = \left(\frac{\text{Current Year Value} - \text{Previous Year Value}}{\text{Previous Year Value}}\right) \times 100
\]
For 2023:
- Comprehensive income for 2022 is not provided, so percentage change for 2023 cannot be calculated.
For 2024:
- Comprehensive income for 2023: $76,996 million
- Comprehensive income for 2024: $99,720 million
\[
\text{Percentage Change for 2024} = \left(\frac{99,720 - 76,996}{76,996}\right) \times 100 = 29.45\%
\]
For 2025:
- Comprehensive income for 2024: $99,720 million
- Comprehensive income for 2025: $135,054 million
\[
\text{Percentage Change for 2025} = \left(\frac{135,054 - 99,720}{99,720}\right) \times 100 = 35.37\%
\]
Thus, the percentage change in comprehensive income is 29.45% for 2024 and 35.37% for 2025.</t>
  </si>
  <si>
    <t>What was the return on capital employed (ROCE) of Alphabet for the year 2024?</t>
  </si>
  <si>
    <t>0.311214 (31.1%)</t>
  </si>
  <si>
    <t>I cannot find the ROCE for Alphabet for the year 2024 in the document.</t>
  </si>
  <si>
    <t>What was the net profit margin percentage of Alphabet for the year 2024?</t>
  </si>
  <si>
    <t>28.60367%</t>
  </si>
  <si>
    <t>Alphabet's net profit margin for 2024 was approximately 28.6% (Net income $100,118M / Revenue $350,018M).</t>
  </si>
  <si>
    <t>The net profit margin percentage of Alphabet for the year 2024 was 29%.</t>
  </si>
  <si>
    <t>What was the current ratio of Alphabet for the year 2024?</t>
  </si>
  <si>
    <t>1.836931</t>
  </si>
  <si>
    <t>Current ratio (2024) = $163,711M / $89,122M ≈ 1.84.</t>
  </si>
  <si>
    <t>The current ratio is calculated by dividing total current assets by total current liabilities. 
For the year 2024:
- Total current assets = $163,711 million
- Total current liabilities = $89,122 million
Current Ratio = Total Current Assets / Total Current Liabilities
Current Ratio = $163,711 million / $89,122 million ≈ 1.84
The current ratio for Alphabet in 2024 was approximately 1.84.</t>
  </si>
  <si>
    <t>Linguistic</t>
  </si>
  <si>
    <t>What trends and opportunities does the MD&amp;A highlight?</t>
  </si>
  <si>
    <t>AI, cloud, digital shift, international growth</t>
  </si>
  <si>
    <t>Continued digital advertising shift, AI-driven product evolution, multi-device growth, international markets, Google Cloud expansion, Other Bets in health and life sciences.</t>
  </si>
  <si>
    <t>I cannot find the trends and opportunities highlighted in the Management’s Discussion and Analysis (MD&amp;A) in the provided document.</t>
  </si>
  <si>
    <t>What are Alphabet's sustainability commitments?</t>
  </si>
  <si>
    <t>Not listed under Alphabet section provided</t>
  </si>
  <si>
    <t>Net-zero emissions by 2030, 24/7 carbon-free energy, 50% reduction in Scope 1/2/3 emissions, carbon removal investments.</t>
  </si>
  <si>
    <t>I cannot find information about Alphabet's sustainability commitments in the provided document pages.</t>
  </si>
  <si>
    <t>What business segments does Alphabet operate in?</t>
  </si>
  <si>
    <t>Google Services, Google Cloud, Other Bets</t>
  </si>
  <si>
    <t>Google Services, Google Cloud, and Other Bets.</t>
  </si>
  <si>
    <t>Alphabet operates in the segments: Google Services, Google Cloud, and Other Bets.</t>
  </si>
  <si>
    <t>Alphabet operates in the following business segments:
1. **Google Services**
2. **Google Cloud**
3. **Other Bets**</t>
  </si>
  <si>
    <t>Identify six most important risk factors.</t>
  </si>
  <si>
    <t>Cybersecurity, competition, regulation, economy, supply chain, etc.</t>
  </si>
  <si>
    <t>I cannot find a specific list of the six most important risk factors in the document provided.</t>
  </si>
  <si>
    <t>Creative/Analytical</t>
  </si>
  <si>
    <t>How can Alphabet's cloud performance be improved? Analyse.</t>
  </si>
  <si>
    <t>AI infra, TPUs, efficiency, optimization</t>
  </si>
  <si>
    <t>Differentiate on AI end-to-end (infra to platform to apps), strengthen unified data platform, compete on trust/security, increase enterprise stickiness via Workspace + Gemini, maintain rapid R&amp;D innovation.</t>
  </si>
  <si>
    <t>I cannot find specific details on improving Alphabet's cloud performance directly in the provided document. The document outlines Alphabet's existing cloud revenues and services but does not provide strategies for performance improvement.</t>
  </si>
  <si>
    <t>How can Alphabet reduce its operating expenses while scaling its AI services?</t>
  </si>
  <si>
    <t>Datacenter efficiency, TPUs, model distillation</t>
  </si>
  <si>
    <t>To reduce operating expenses while scaling its AI services, Alphabet can:
1. **Optimize Infrastructure**: Enhance the efficiency of its AI-optimized infrastructure, reducing costs related to energy, equipment, and network capacity.
2. **Leverage AI for Operations**: Use AI to automate and streamline internal processes, decreasing reliance on manual labor and improving productivity.
3. **Prioritize High-Impact R&amp;D**: Focus research and development efforts on high-impact AI projects that promise the highest returns, minimizing expenditure on lower-priority initiatives.
4. **Negotiate Vendor Contracts**: Renegotiate contracts with third-party vendors and partners, focusing on cost-effective solutions and bulk purchasing discounts.
5. **Enhance Cloud Efficiency**: Improve cloud utilization by migrating to more efficient data models and optimizing resource allocation, thereby cutting down on unnecessary cloud expenses.
6. **Standardize Platforms**: Develop a standardized AI development platform to streamline application development and reduce redundant efforts across divisions.
7. **Outsource Non-Core Activities**: Consider outsourcing non-core activities in areas like customer support and administrative tasks to specialist firms that offer cost savings through economies of scale.
8. **Energy Efficiency Initiatives**: Invest in energy-efficient technologies and renewable energy sources to reduce long-term utility costs.
By implementing these strategies, Alphabet can manage its operating expenses effectively while advancing its AI capabilities.</t>
  </si>
  <si>
    <t>Where can the company focus in the future? Comment on its future opportunities.</t>
  </si>
  <si>
    <t>Cloud, AI, ads, subscriptions, hardware</t>
  </si>
  <si>
    <t>Continue benefiting from digital shift, build for multi-device/new modalities, expand AI and advertising offerings, grow internationally, scale Google Cloud, pursue Other Bets in health and life sciences.</t>
  </si>
  <si>
    <t>I cannot find specific details about future opportunities or areas of focus for the company in the provided document.</t>
  </si>
  <si>
    <t>Propose a risk mitigation plan for cybersecurity challenges faced by Alphabet.</t>
  </si>
  <si>
    <t>Zero trust, audits, intelligence, training</t>
  </si>
  <si>
    <t>Governance/accountability, third-party supply chain risk reduction, product vulnerability management, detection/incident response, AI-enabled threat mitigation, infrastructure/IP protection, sustained investment.</t>
  </si>
  <si>
    <t>Based on the provided excerpts, a risk mitigation plan for Alphabet's cybersecurity challenges could include:
1. **Enhanced Monitoring and Detection:**
   - Strengthen the incident management teams to track and log privacy and security incidents more effectively.
   - Use real-time monitoring tools to detect vulnerabilities and cyber threats quickly.
2. **Comprehensive Risk Management Program:**
   - Continue leveraging input from external experts, internal threat intelligence teams, and senior executives.
   - Regularly update the cybersecurity risk management program to address new challenges.
3. **Cross-functional Review:**
   - Implement a cross-functional working group to evaluate incidents regularly and determine the necessity for further escalation.
4. **Escalation and Response Protocols:**
   - Ensure incidents identified as potentially material are escalated promptly for further assessment.
   - Designate senior management to respond to critical incidents and maintain a clear communication line with legal, compliance, and public relations teams.
5. **Collaboration with Law Enforcement:**
   - Cooperate with law enforcement in case of significant security breaches to enhance investigation and remediation efforts.
6. **Regular Compliance Checks:**
   - Conduct periodic audits and compliance checks through Internal Audit to maintain cybersecurity controls.
7. **Employee Training and Awareness:**
   - Enhance employee training programs to improve awareness about security threats and protocol adherence.
   - Implement phishing and cybersecurity awareness campaigns.
8. **Disaster Recovery and Redundancy Planning:**
   - Ensure that systems are fully redundant where feasible and that robust disaster recovery plans are updated and tested.
9. **Vendor and Third-party Service Monitoring:**
   - Regularly assess and monitor risks associated with vendors and third-party services, ensuring they follow stringent security practices.
10. **Continuous Improvement and Feedback Loop:**
    - Foster a culture of continuous improvement by incorporating lessons learned from past incidents into the cybersecurity strategies.
These steps aim to create a resilient framework to mitigate cybersecurity risks and ensure business continuity at Alphabet.</t>
  </si>
  <si>
    <t>AVG</t>
  </si>
  <si>
    <t>Avg Smart MRAG Score →</t>
  </si>
  <si>
    <t>Avg Text RAG Score →</t>
  </si>
  <si>
    <t>Avg Multimodal RAG Score →</t>
  </si>
  <si>
    <t>What was Meta's total net income for the year ended 2024?</t>
  </si>
  <si>
    <t>$62,360 million</t>
  </si>
  <si>
    <t>Meta's total net income for the year ended 2024 was $62,360 million.</t>
  </si>
  <si>
    <t>What were the total costs and expenses reported by Meta for the year 2024?</t>
  </si>
  <si>
    <t>$95,121 million</t>
  </si>
  <si>
    <t>Meta reported total costs and expenses of $95,121 million for the year 2024.</t>
  </si>
  <si>
    <t>The total costs and expenses reported by Meta for the year 2024 were $95,121 million.</t>
  </si>
  <si>
    <t>How much were Meta's total assets for the year 2024?</t>
  </si>
  <si>
    <t>$276,054 million</t>
  </si>
  <si>
    <t>Meta's total assets for the year 2024 were $276,054 million.</t>
  </si>
  <si>
    <t>What was Meta's total cash, cash equivalents, and restricted cash for the year 2024?</t>
  </si>
  <si>
    <t>$45,438 million</t>
  </si>
  <si>
    <t>Meta's total cash, cash equivalents, and restricted cash at the end of 2024 was $45,438 million.</t>
  </si>
  <si>
    <t>Meta's total cash, cash equivalents, and restricted cash for the year 2024 was $45,438 million.</t>
  </si>
  <si>
    <t>How did Meta's year-over-year revenue growth for 2024 compare to the prior year 2023?</t>
  </si>
  <si>
    <t>22% in 2024 vs 16% in 2023</t>
  </si>
  <si>
    <t>Meta's total revenue grew 22% YoY in 2024 vs 2023, higher than the 16% YoY growth in 2023 vs 2022.</t>
  </si>
  <si>
    <t>Meta's year-over-year revenue growth for 2024 compared to 2023 was 22%.</t>
  </si>
  <si>
    <t>How did the other comprehensive income change over the past three years?</t>
  </si>
  <si>
    <t>2022: $(2,837)M; 2023: $1,375M; 2024: $(942)M</t>
  </si>
  <si>
    <t>2022: $(2,837)M OCI loss; 2023: $1,375M OCI gain; 2024: $(942)M OCI loss.</t>
  </si>
  <si>
    <t>The other comprehensive income changed as follows over the past three years:
- In 2023, it was the sum of a change in foreign currency translation adjustment of 618 and a change in unrealized gain on available-for-sale investments and other of 757.
- In 2024, it included a change in foreign currency translation adjustment of (1,413) and a change in unrealized gain of 471.
- In 2025, it included a change in foreign currency translation adjustment of 2,693 and a change in unrealized gain of 675.
I cannot provide the exact values of other comprehensive income for these years, but you can calculate them using the provided components for each year.</t>
  </si>
  <si>
    <t>In 2023, the other comprehensive income was $1,375 million. In 2024, it decreased to $(942) million, indicating a loss. In 2025, it increased to $3,368 million.</t>
  </si>
  <si>
    <t>What was the return on assets (ROA) of Meta in the year 2024?</t>
  </si>
  <si>
    <t>ROA not explicitly stated</t>
  </si>
  <si>
    <t>I cannot find the return on assets (ROA) for Meta in the year 2024 in the provided document.</t>
  </si>
  <si>
    <t>What was the equity ratio of Meta for the year 2024?</t>
  </si>
  <si>
    <t>0.662 (66.2%)</t>
  </si>
  <si>
    <t>Meta's equity ratio for 2024 = $182,637M / $276,054M ≈ 0.662 (66.2%).</t>
  </si>
  <si>
    <t>I cannot find the equity ratio of Meta for the year 2024 in the provided document.</t>
  </si>
  <si>
    <t>What are the risks related to Meta's product offerings?</t>
  </si>
  <si>
    <t>Regulatory, data transfer, AI regulation, hardware quality, supply chain</t>
  </si>
  <si>
    <t>Regulatory/legal risk on products, data transfer restrictions, AI regulatory uncertainty, product decisions not delivering expected benefits, consumer hardware risks, supply chain dependence, supplier compliance risks.</t>
  </si>
  <si>
    <t>The risks related to Meta's product offerings include:
- The ability to add and retain users and maintain levels of user engagement with their products.
- The loss of, or reduction in spending by, marketers.
- Reduced availability of data signals used for ad targeting and measurement tools.
- Ineffective operation with mobile operating systems or changes in relationships with mobile operating system partners.
- Failure of new products, or changes to existing products, to attract or retain users or generate revenue.</t>
  </si>
  <si>
    <t>What are the impacts of competition on the business of Meta?</t>
  </si>
  <si>
    <t>User loss, ad pressure, platform restrictions by Apple/Google</t>
  </si>
  <si>
    <t>Reduce user engagement if people shift to competitors; platform control actions by Apple/Google limiting Meta's ad targeting; loss of users/revenue; forced defensive actions.</t>
  </si>
  <si>
    <t>The impacts of competition on Meta's business include:
1. **Innovation Pressure**: Meta is compelled to engage in continuous innovation to create and improve products as it competes with companies providing connection, sharing, discovery, and communication services.
2. **Product and Service Development**: The competition leads to the need for developing new tools and systems to manage and optimize advertising campaigns, enhance user creation and sharing capabilities, and discover content.
3. **Adoption Challenges**: Meta faces the need to attract, engage, and retain users and businesses to use its free or paid services, as well as to attract and retain developers who can build complementary applications.
4. **AI and Technology Investments**: Competitive pressures drive Meta to invest in artificial intelligence development and other technologies, particularly in augmented and virtual reality, as well as integrating AI into its products.
5. **Operational Adjustments**: The company needs to adapt its computing infrastructure to support its expanding product range and technology needs, which is influenced by competition.
6. **Regulatory and Legal Challenges**: Meta deals with various investigations and legal proceedings, implying costs and changes in operations to meet legal requirements and settle disputes related to anticompetitive claims. This includes complying with decisions from the FTC, U.S. Department of Justice, and European regulatory bodies.
7. **Market and Revenue Impact**: The potential outcome of ongoing legal challenges might affect user experiences in Europe and have significant impacts on business and revenue if compliance does not meet regulatory standards.
Overall, competition forces Meta to continuously innovate, adapt operations, and address regulatory challenges, which can affect market positioning and financial performance.</t>
  </si>
  <si>
    <t>Meta is subject to many legal proceedings. Specify which youth-related actions it is facing.</t>
  </si>
  <si>
    <t>Social media addiction, COPPA, child safety, state AGs, mass arbitration</t>
  </si>
  <si>
    <t>Social media addiction lawsuits (Facebook/Instagram), class actions in US/Brazil/Canada/Europe, COPPA violations, child sexual abuse material claims, state AG lawsuits, mass arbitration demands, European Commission DSA proceedings.</t>
  </si>
  <si>
    <t>Meta is facing litigation and other proceedings in various federal and state courts in the United States and other jurisdictions alleging that Facebook and Instagram cause "social media addiction" in users, with a focus on those under 18 years old. These actions claim that this addiction results in various mental health and other harms. Putative class actions have been filed in the United States, Brazil, Canada, Europe, and elsewhere on behalf of users in those jurisdictions.</t>
  </si>
  <si>
    <t>Meta is facing legal proceedings and government investigations related to its alleged role in causing or contributing to societal harms, particularly concerning younger users. This includes issues such as mental and physical health and safety impacts, child and adult sexual exploitation, and illegal activity with respect to drugs, fraud, and unlawful discrimination.</t>
  </si>
  <si>
    <t>What does the MD&amp;A say about Family of Apps metrics trends?</t>
  </si>
  <si>
    <t>DAP growth, ad impressions growth, price per ad growth</t>
  </si>
  <si>
    <t>The MD&amp;A states that the Family of Apps metrics showed the following trends:
- Daily active people (DAP) was 3.58 billion on average for December 2025, an increase of 7% year-over-year.
- Ad impressions delivered increased by 12% year-over-year in 2025.
- Average price per ad increased by 9% year-over-year in 2025.</t>
  </si>
  <si>
    <t>How can Meta solve the problem of unfavourable media coverage affecting its business?</t>
  </si>
  <si>
    <t>Not explicitly in document</t>
  </si>
  <si>
    <t>The document does not provide specific solutions for Meta to solve the problem of unfavorable media coverage affecting its business.</t>
  </si>
  <si>
    <t>Will Meta's share repurchase program affect the cash reserves of the company? If yes, explain briefly.</t>
  </si>
  <si>
    <t>Yes, diminishes cash reserves</t>
  </si>
  <si>
    <t>Yes — document states share repurchases and dividend payments will diminish cash reserves.</t>
  </si>
  <si>
    <t>Yes, Meta's share repurchase program will affect the cash reserves of the company. The repurchase program and dividend payments will diminish their cash reserves.</t>
  </si>
  <si>
    <t>Yes, Meta's share repurchase program will affect the cash reserves of the company. The repurchase of shares involves using available funds to buy back and retire shares, which reduces the company's cash reserves. Additionally, the document states that the repurchase program will diminish their cash reserves, indicating an impact on available cash.</t>
  </si>
  <si>
    <t>Suggest a communication strategy for building investor confidence.</t>
  </si>
  <si>
    <t>Market risk narrative, capital preservation, consistent updates</t>
  </si>
  <si>
    <t>Lead with risk quantification; explain non-marketable equity valuations; provide FX narrative; reinforce capital preservation; use cross-references for credibility; maintain predictable update cadence.</t>
  </si>
  <si>
    <t>1. **Transparency and Regular Updates**: 
   - Frequently provide detailed updates on progress, challenges, and milestones through earnings calls, newsletters, and reports.
   - Use multiple platforms such as investor websites and social media (referenced like Facebook, Instagram, and Threads) to disseminate information consistently.
2. **Highlight Long-term Vision**: 
   - Clearly articulate the long-term strategy and potential of companies like Reality Labs and new technologies like AI and the metaverse.
   - Emphasize ongoing investments and innovations aimed at maintaining a competitive edge.
3. **Address Concerns Openly**: 
   - Discuss known challenges, such as potential regulatory issues, data privacy concerns, or platform policies, and the steps being taken to mitigate them.
   - Address past controversies or issues regarding developments openly to build trust.
4. **Engage with Investors**: 
   - Host Q&amp;A sessions, investor days, or forums for stakeholders to directly engage with the management team.
   - Actively respond to investor questions and concerns through official communication channels.
5. **Showcase Success Stories**: 
   - Share case studies and success stories demonstrating the positive impact of innovations and strategic decisions.
   - Present data on user engagement and satisfaction showing the effectiveness of implemented changes.
6. **Leverage Credible Endorsements**: 
   - Utilize endorsements or testimonials from respected industry experts or partners to validate company strategies and technologies.
7. **Report on Ethical Standards and Compliance**: 
   - Regularly update investors on compliance with ethical standards, data privacy regulations, and corporate governance practices.
   - Show commitment to addressing concerns about data misuse, AI ethics, and regulatory compliance proactively. 
Implementing these strategies can help build and sustain investor confidence by fostering trust and demonstrating accountability and transparency.</t>
  </si>
  <si>
    <t>Even though Meta reports strong financials, Reality Labs reports significant operating losses each year. How can these losses be reduced?</t>
  </si>
  <si>
    <t>I cannot find specific strategies for reducing operating losses in Reality Labs within the document provided.</t>
  </si>
  <si>
    <t>What is the interest expense of IBM for the year 2024?</t>
  </si>
  <si>
    <t>$1,712 million</t>
  </si>
  <si>
    <t>IBM's total interest expense for the year 2024 was $1,712 million.</t>
  </si>
  <si>
    <t>The interest expense of IBM for the year 2024 is $1,712 million.</t>
  </si>
  <si>
    <t>How much worth of inventory did IBM have for the year 2024?</t>
  </si>
  <si>
    <t>$1,289 million</t>
  </si>
  <si>
    <t>Cannot find the answer.</t>
  </si>
  <si>
    <t>I cannot find the amount of inventory IBM had for the year 2024 in the document provided.</t>
  </si>
  <si>
    <t>How much was the accounts payable for IBM for the year 2024?</t>
  </si>
  <si>
    <t>$4,032 million</t>
  </si>
  <si>
    <t>IBM's accounts payable for the year 2024 was $4,032 million.</t>
  </si>
  <si>
    <t>I cannot find the answer in the document specifically mentioning IBM. However, the accounts payable amount listed is $4,032 million as of one of the years mentioned. Without explicit reference to IBM, it is unclear if this value pertains to IBM.</t>
  </si>
  <si>
    <t>The accounts payable for IBM for the year 2024 was $4,032 million.</t>
  </si>
  <si>
    <t>How much was IBM's retained earnings for the year 2024?</t>
  </si>
  <si>
    <t>$151,163 million (accumulated deficit line confused)</t>
  </si>
  <si>
    <t>IBM's retained earnings for 2024 were $(169,968) million.</t>
  </si>
  <si>
    <t>IBM's retained earnings for the year 2024 were $151,163 million.</t>
  </si>
  <si>
    <t>I cannot find the retained earnings for the year 2024 in the document.</t>
  </si>
  <si>
    <t>What was the net change percentage in current ratio for IBM from the last year?</t>
  </si>
  <si>
    <t>Net change = 0.078814 (~7.88%)</t>
  </si>
  <si>
    <t>IBM's current ratio increased from 0.96:1 in 2023 to 1.04:1 in 2024, approximately 8.3% increase.</t>
  </si>
  <si>
    <t>The current ratio for IBM at December 31, 2024, was 1.041, and at December 31, 2023, it was 0.961.
To find the net change percentage in the current ratio:
\[
\text{Net Change Percentage} = \left( \frac{\text{Current Ratio}_{2024} - \text{Current Ratio}_{2023}}{\text{Current Ratio}_{2023}} \right) \times 100
\]
\[
= \left( \frac{1.041 - 0.961}{0.961} \right) \times 100 \approx 8.33\%
\]
The net change percentage in the current ratio for IBM from the last year is approximately 8.33%.</t>
  </si>
  <si>
    <t>What is the equity ratio for IBM for the year 2024?</t>
  </si>
  <si>
    <t>0.199694</t>
  </si>
  <si>
    <t>I cannot find the equity ratio for IBM for the year 2024 in the document provided.</t>
  </si>
  <si>
    <t>What is the net change in the net income for IBM for the last 2 years?</t>
  </si>
  <si>
    <t>2024 vs 2023: −19.7%; 2023 vs 2022: +357.7%</t>
  </si>
  <si>
    <t>Net income: $6,023M (2024) vs $7,502M (2023), a decrease of $1,479M.</t>
  </si>
  <si>
    <t>The net change in the net income for IBM over the last two years is a decrease of $1,479 million. The net income was $7,502 million in 2023 and $6,023 million in 2024.</t>
  </si>
  <si>
    <t>What is the operating margin of IBM for the year 2024?</t>
  </si>
  <si>
    <t>9.237805%</t>
  </si>
  <si>
    <t>I cannot find the operating margin for 2024 in the document.</t>
  </si>
  <si>
    <t>How will market conditions affect IBM's future pension funding requirements?</t>
  </si>
  <si>
    <t>Market volatility increases liabilities and may require higher funding</t>
  </si>
  <si>
    <t>Market conditions in 2025 could increase IBM's legally mandated minimum pension contributions in countries requiring monthly/daily remeasurement; financial market performance influences discretionary contributions.</t>
  </si>
  <si>
    <t>Market conditions in 2025 could affect IBM's future pension funding requirements by increasing the legally mandated minimum contributions in certain countries that require monthly or daily remeasurement of the funded status. Additionally, financial market performance could influence the need for discretionary contributions.</t>
  </si>
  <si>
    <t>Name specific currency risks faced by IBM.</t>
  </si>
  <si>
    <t>USD vs non-USD currency movements; global/regional shifts</t>
  </si>
  <si>
    <t>Translation exposure, transaction exposure (anticipated royalties/costs in non-USD), net investment exposure in foreign subsidiaries, cross-currency swaps.</t>
  </si>
  <si>
    <t>I cannot find the specific currency risks faced by IBM in the document.</t>
  </si>
  <si>
    <t>What financial risks are affecting IBM?</t>
  </si>
  <si>
    <t>Credit concentration, client creditworthiness, currency, interest rates, residual value, derivative counterparty risk</t>
  </si>
  <si>
    <t>Currency risk, interest rate risk (mismatches from global debt issuance), FX net investment exposure, financing segment risks.</t>
  </si>
  <si>
    <t>IBM is affected by several financial risks, including:
1. **Currency Risk**: Fluctuations in foreign exchange rates can impact financial results, particularly due to non-U.S. operations and translations into U.S. dollars.
2. **Market Risk**: This includes risks from interest rate and currency movements on debt and financial instruments. Market risk exposures relate to changes in interest rates or foreign exchange rates.
3. **Interest Rate Risk**: A hypothetical 10% change in interest rates could decrease the fair value of financial instruments by approximately $0.3 billion at the end of 2023 and 2024.
4. **Foreign Currency Exchange Rate Risk**: A hypothetical 10% change in foreign exchange rates could reduce the fair value of financial instruments by approximately $1.3 billion in 2024 and $1.6 billion in 2023.
5. **Financing Risks**: Related to facilitating client acquisitions of hardware, software, and services, affecting operations and revenues.
These risks involve changes in market conditions affecting IBM's financial instruments and operations.</t>
  </si>
  <si>
    <t>How does IBM define ARR (annual recurring revenue) in 2024?</t>
  </si>
  <si>
    <t>Same definition</t>
  </si>
  <si>
    <t>ARR = current quarter's recurring revenue × 4. Includes SaaS, PaaS, software subscriptions, and maintenance/support contracts.</t>
  </si>
  <si>
    <t>IBM defines ARR (annual recurring revenue) in 2024 as a key performance metric used to assess the health and growth trajectory of the Hybrid Platform &amp; Solutions business within the Software segment. It is calculated by using the current quarter's recurring revenue and multiplying that value by four. This value includes software subscription agreements, as-a-service arrangements like SaaS and PaaS, and maintenance and support contracts.</t>
  </si>
  <si>
    <t>What approach should IBM prioritize to accelerate adoption of AI for clients?</t>
  </si>
  <si>
    <t>Open hybrid AI (Granite, watsonx, OpenShift AI)</t>
  </si>
  <si>
    <t>Software-led, integrated go-to-market approach leveraging consulting business to drive AI adoption with Granite models and watsonx platform.</t>
  </si>
  <si>
    <t>IBM should prioritize an AI strategy focusing on four key differentiators to accelerate adoption of AI for clients: Open, Cost Efficient, Hybrid, and Domain Expertise. They enable cheaper inferencing for hybrid cloud architectures and embed domain expertise in their technologies and consulting offerings to speed client adoption and value realization.</t>
  </si>
  <si>
    <t>IBM Z performance has declined in 2024. How can IBM strengthen it?</t>
  </si>
  <si>
    <t>AI-optimized storage, Power systems, inferencing, as-a-service models</t>
  </si>
  <si>
    <t>I cannot find information in the document about a decline in IBM Z performance in 2024 or how IBM plans to strengthen it.</t>
  </si>
  <si>
    <t>Propose 1 improvement in operations that IBM Consulting can adopt to address margin pressures.</t>
  </si>
  <si>
    <t>Centralized AI-delivery automation hub</t>
  </si>
  <si>
    <t>Expand and accelerate productivity actions by standardizing delivery and increasing use of AI-assisted automation in consulting delivery.</t>
  </si>
  <si>
    <t>One improvement IBM Consulting can adopt to address margin pressures is to enhance the efficiency of its operations through increased use of automation and artificial intelligence. By further automating routine and administrative processes, IBM Consulting can reduce operational costs and improve productivity. This could involve leveraging AI-driven tools for project management, client support, and data analysis to optimize resource allocation and minimize manual interventions, ultimately preserving or improving profit margins.</t>
  </si>
  <si>
    <t>Comment on whether inorganic investments supported IBM's strategic goals in 2024.</t>
  </si>
  <si>
    <t>Software AG assets, Neural Magic, HashiCorp</t>
  </si>
  <si>
    <t>Yes — 11 acquisitions closed in 2024 (including Software AG assets, Neural Magic, HashiCorp pending) aligned with hybrid cloud, AI, and data strategy.</t>
  </si>
  <si>
    <t>Inorganic investments in 2024 played a significant role in supporting IBM's strategic goals. IBM accelerated its strategy and client value with inorganic investments focused on hybrid cloud, data, and AI technology, alongside strategic consulting capabilities. The company completed 11 acquisitions, with Software AG being a notable example to bolster automation, data, and AI portfolios. These investments were aligned with unlocking the full value of AI and hybrid cloud for clients, enhancing IBM's capabilities, and contributing to the company's progress as a higher growth, higher margin business.</t>
  </si>
  <si>
    <t>How much was the basic earnings per share of Microsoft for the year 2025?</t>
  </si>
  <si>
    <t>$13.70</t>
  </si>
  <si>
    <t>Microsoft's basic EPS for the year ended June 30, 2025 was $13.70.</t>
  </si>
  <si>
    <t>The basic earnings per share for Microsoft for the year 2025 was $13.70.</t>
  </si>
  <si>
    <t>The basic earnings per share for Microsoft in the year 2025 was $13.70.</t>
  </si>
  <si>
    <t>What is the accounts payable of Microsoft for the year 2025?</t>
  </si>
  <si>
    <t>$27,724 million</t>
  </si>
  <si>
    <t>Microsoft's accounts payable for the year ended June 30, 2025 was $27,724 million.</t>
  </si>
  <si>
    <t>As of June 30, 2025, purchases of property and equipment remaining in accounts payable were $6.9 billion.</t>
  </si>
  <si>
    <t>What was the net cash from operations of Microsoft for the year 2025?</t>
  </si>
  <si>
    <t>$136,162 million</t>
  </si>
  <si>
    <t>Microsoft's net cash from operations for the year ended June 30, 2025 was $136,162 million.</t>
  </si>
  <si>
    <t>The net cash from operations for the year 2025 was $136.2 billion.</t>
  </si>
  <si>
    <t>The net cash from operations for Microsoft in 2025 was $136,162 million.</t>
  </si>
  <si>
    <t>What was the total cost of revenue reported by Microsoft for the year 2025?</t>
  </si>
  <si>
    <t>$87,831 million</t>
  </si>
  <si>
    <t>Microsoft's total cost of revenue for the year ended June 30, 2025 was $87,831 million.</t>
  </si>
  <si>
    <t>The total cost of revenue reported by Microsoft for the year 2025 was $87,831 million.</t>
  </si>
  <si>
    <t>What is the asset turnover ratio of Microsoft for the year 2025?</t>
  </si>
  <si>
    <t>0.455125</t>
  </si>
  <si>
    <t>I cannot find the asset turnover ratio in the document provided.</t>
  </si>
  <si>
    <t>What was the quick ratio of Microsoft over the past 2 fiscal years?</t>
  </si>
  <si>
    <t>2025: 1.346804; 2024: 1.26501</t>
  </si>
  <si>
    <t>I cannot find the quick ratio in the document provided.</t>
  </si>
  <si>
    <t>How did Microsoft total liabilities and stockholders equity percentage for the year 2025 compare to the year 2024?</t>
  </si>
  <si>
    <t>20.86% increase</t>
  </si>
  <si>
    <t>I cannot find the percentage comparison of total liabilities and stockholders' equity between 2025 and 2024 directly in the document. The document only provides total values:
- 2025: $619,003 million
- 2024: $512,163 million
To find the percentage change, you would typically calculate it manually using these values.</t>
  </si>
  <si>
    <t>Calculate the return on equity for Microsoft for the year 2025.</t>
  </si>
  <si>
    <t>0.296472 (29.65%)</t>
  </si>
  <si>
    <t>Cannot calculate — shareholders' equity not available in context. Net income 2025 was $101,832M.</t>
  </si>
  <si>
    <t>I cannot find the necessary information to calculate the return on equity for Microsoft for the year 2025 in the provided document.</t>
  </si>
  <si>
    <t>What trends and opportunities does MD&amp;A highlight?</t>
  </si>
  <si>
    <t>AI transforming productivity, cloud adoption, Microsoft 365, Azure, Dynamics, LinkedIn, gaming</t>
  </si>
  <si>
    <t>Dynamic and highly competitive industry, frequent tech changes, R&amp;D investment, OpenAI partnership with revenue-sharing and IP integration rights.</t>
  </si>
  <si>
    <t>The MD&amp;A highlights that the industry is dynamic and highly competitive, with frequent changes in technologies and business models. Each industry shift presents opportunities to conceive new products, technologies, or ideas that can transform the industry and business. Microsoft invests in research and development to address changing customer demands, industry trends, and competitive forces. 
The document also mentions a strategic partnership with OpenAI, emphasizing reciprocal revenue-sharing arrangements and exclusive rights to OpenAI's intellectual property for integration into Microsoft's products.</t>
  </si>
  <si>
    <t>What are Microsoft's sustainability commitments?</t>
  </si>
  <si>
    <t>Carbon negative, water positive, zero waste by 2030</t>
  </si>
  <si>
    <t>Carbon negative, water positive, and zero waste company by 2030.</t>
  </si>
  <si>
    <t>Microsoft's sustainability commitments include becoming carbon negative, water positive, and zero waste by 2030.</t>
  </si>
  <si>
    <t>What business segments does Microsoft operate in?</t>
  </si>
  <si>
    <t>Same three segments</t>
  </si>
  <si>
    <t>Productivity and Business Processes; Intelligent Cloud; More Personal Computing.</t>
  </si>
  <si>
    <t>Microsoft operates in three business segments: Productivity and Business Processes, Intelligent Cloud, and More Personal Computing.</t>
  </si>
  <si>
    <t>Microsoft operates in three business segments:
1. **Productivity and Business Processes**
2. **Intelligent Cloud**
3. **More Personal Computing**</t>
  </si>
  <si>
    <t>Identify 6 most important risk factors.</t>
  </si>
  <si>
    <t>Cybersecurity, competition, regulation, economic conditions, supply chain, operational risk</t>
  </si>
  <si>
    <t>I cannot find the specific risk factors in the document provided. However, it mentions that risks are further discussed in Part I, Item 1A of the Form 10-K under "Risk Factors."</t>
  </si>
  <si>
    <t>How can Microsoft's cloud performance be improved? Analyse.</t>
  </si>
  <si>
    <t>Expand AI infrastructure, enterprise migration incentives, OpenAI integration, cost optimization tools</t>
  </si>
  <si>
    <t>Improve datacenter utilization/capacity efficiency, optimize AI infrastructure scaling, strengthen hybrid consistency, increase reliability/security automation, continue cloud and AI engineering investment.</t>
  </si>
  <si>
    <t>Based on the provided information, potential strategies to improve Microsoft's cloud performance could include:
1. **Expanding Product Offerings**: Continuously innovate and expand Azure and Microsoft 365 services, especially in AI and machine learning, to attract more enterprise customers.
2. **Strengthening Integration**: Enhance integration capabilities across Microsoft products, such as Dynamics 365, LinkedIn, and GitHub, to create a more cohesive ecosystem that encourages cross-platform usage.
3. **Customer Acquisition and Retention**: Focus on acquiring new customers by targeting different market segments, such as small and medium businesses and emerging markets, and retaining existing ones by offering personalized experiences and superior customer service.
4. **Scalability and Performance**: Invest in infrastructure to ensure high scalability, reliability, and performance of cloud services, enhancing user experience and operational efficiency.
5. **Pricing Strategies**: Develop competitive pricing strategies to make their cloud services more attractive compared to competitors like AWS and Google Cloud.
6. **Partnerships and Collaborations**: Form strategic alliances and partnerships to enhance service offerings and reach new customer bases.
7. **Focus on Emerging Technologies**: Lead in emerging technology trends such as the Internet of Things (IoT), edge computing, and hybrid cloud solutions to capture more market share.
By implementing these strategies, Microsoft can enhance its cloud service offerings, attract more customers, and maintain its competitive edge in the cloud market.</t>
  </si>
  <si>
    <t>How can Microsoft reduce its operating expenses while scaling its AI services?</t>
  </si>
  <si>
    <t>Datacenter energy optimization, automation, streamlining products, efficient AI training</t>
  </si>
  <si>
    <t>The document does not provide specific strategies for reducing operating expenses while scaling AI services. However, it mentions that operating expenses increased due to investments in AI. To reduce expenses, Microsoft could potentially focus on optimizing costs through efficient infrastructure management and leveraging automation in AI services.</t>
  </si>
  <si>
    <t>Cloud expansion, AI leadership, gaming, workplace apps, security</t>
  </si>
  <si>
    <t>Cloud growth, AI leadership, Azure expansion, Microsoft 365 subscriptions, Dynamics 365, LinkedIn, gaming (Xbox content +16%), OpenAI partnership.</t>
  </si>
  <si>
    <t>I cannot find the answer in the documents provided.</t>
  </si>
  <si>
    <t>Propose a risk mitigation plan for cybersecurity challenges faced by Microsoft.</t>
  </si>
  <si>
    <t>Zero trust expansion, audits, threat intelligence sharing, employee training</t>
  </si>
  <si>
    <t>Secure Future Initiative execution, zero-trust architecture, operationalize 84T daily signals, vulnerability management, supply chain controls, customer on-prem protection, governance/metrics accountability.</t>
  </si>
  <si>
    <t>I cannot find a specific risk mitigation plan in the document, but it outlines some strategies Microsoft uses in managing cybersecurity risks:
1. **Utilize External Services:** Employ external service providers for cybersecurity assessment and response, including bug bounty programs and third-party security evaluations.
2. **Enhance Collaboration:** Work with government and state actors for cybersecurity diplomacy and setting expectations for behavior online.
3. **Incident Response Framework:** Implement an incident response plan to quickly address and remediate cybersecurity incidents.
4. **Board Oversight and Governance:** Regular cybersecurity reviews by the Board of Directors and a dedicated Cybersecurity Governance Council to oversee risk management.
5. **Security by Design and Default:** Emphasize security in the design and implementation of products and services, with controls enabled by default.
6. **Security Operations Center:** Operate a center comprising over 10,000 security experts to monitor and manage security operations continuously.
7. **Regular Assessments and Training:** Conduct tabletop simulations, penetration tests, and provide mandatory cybersecurity training for employees.
8. **Threat Intelligence and Monitoring:** Leverage machine learning and AI-powered tools to monitor 1,500+ threat actors and 84 trillion signals daily. 
9. **Compliance and Standards Alignment:** Align cybersecurity programs with industry standards like the NIST Cyber Security Framework.
These strategies form a comprehensive approach to mitigating cybersecurity risks, emphasizing prevention, detection, response, and collaboration.</t>
  </si>
  <si>
    <t>What was Apple's total net sales for the year ended September 27, 2025?</t>
  </si>
  <si>
    <t>~$412,000 million (FY2025)</t>
  </si>
  <si>
    <t>Apple's total net sales for the year ended September 27, 2025, were $416,161 million.</t>
  </si>
  <si>
    <t>What was the net income Apple reported for the year ended September 27, 2025?</t>
  </si>
  <si>
    <t>~$99,803 million</t>
  </si>
  <si>
    <t>The net income Apple reported for the year ended September 27, 2025, was $112,010 million.</t>
  </si>
  <si>
    <t>How much was Apple's total liabilities for the year ended September 27, 2025?</t>
  </si>
  <si>
    <t>Reported in FY2025 balance sheet</t>
  </si>
  <si>
    <t>Apple's total liabilities for the year ended September 27, 2025, were $285,508 million.</t>
  </si>
  <si>
    <t>What were the dividends and dividend equivalents declared per share for Apple for the year ended September 27, 2025?</t>
  </si>
  <si>
    <t>~$0.98 per share</t>
  </si>
  <si>
    <t>The dividends and dividend equivalents declared per share for Apple for the year ended September 27, 2025, were $1.02.</t>
  </si>
  <si>
    <t>How did Apple's gross margin percentage for the year ended September 27, 2025 compare to the year ended September 28, 2024?</t>
  </si>
  <si>
    <t>Gross margin increased slightly YoY</t>
  </si>
  <si>
    <t>Cannot find the answer (context provides 2022–2024 only).</t>
  </si>
  <si>
    <t>Apple's total gross margin percentage for the year ended September 27, 2025, was 46.9%, which is an increase from 46.2% in the year ended September 28, 2024.</t>
  </si>
  <si>
    <t>The total gross margin percentage for Apple increased from 46.2% in 2024 to 46.9% in 2025.</t>
  </si>
  <si>
    <t>What trends can be observed in the service segment growth compared to the product segment growth over the past 3 years?</t>
  </si>
  <si>
    <t>Services growing faster; products flat/declining</t>
  </si>
  <si>
    <t>Services growing strongly: $78,129M (2022) → $85,200M (2023) → $96,169M (2024). Products flat/declining: iPhone flat, Mac/iPad/Wearables declining. Services is clear growth engine.</t>
  </si>
  <si>
    <t>I cannot find specific trends in the service segment growth compared to the product segment growth over the past three years in the provided document. The document provides regional segment information but does not separate service and product segments specifically.</t>
  </si>
  <si>
    <t>How did the net sales of Greater China perform for the past 3 years?</t>
  </si>
  <si>
    <t>Same downward trend</t>
  </si>
  <si>
    <t>Greater China net sales: 2022 $74,200M, 2023 $72,559M (down 2%), 2024 $66,952M (down 8%). Declining trend.</t>
  </si>
  <si>
    <t>The net sales of Greater China were as follows:
- **2025**: $64,377 million (a decrease of 4% from 2024)
- **2024**: $66,952 million (a decrease of 8% from 2023)
- **2023**: $72,559 million</t>
  </si>
  <si>
    <t>What was the current ratio of Apple for the year ended September 27, 2025?</t>
  </si>
  <si>
    <t>≈0.87</t>
  </si>
  <si>
    <t>I cannot find the current ratio in the provided document. You may need to refer to the Consolidated Balance Sheets or other detailed financial data within the full report.</t>
  </si>
  <si>
    <t>What are the key macroeconomic risks faced by Apple and how does it describe their potential impact?</t>
  </si>
  <si>
    <t>Same macro risks and impacts</t>
  </si>
  <si>
    <t>Slow growth/recession, high unemployment, inflation, tighter credit, higher interest rates, currency fluctuations. Impact: reduced consumer confidence and demand, supplier disruption, credit/collectibility risk.</t>
  </si>
  <si>
    <t>The key macroeconomic risks faced by Apple include:
1. **Global and Regional Economic Conditions**: Apple’s operations and performance depend significantly on these conditions. Adverse economic conditions can jeopardize consumer confidence and spending, affecting the company’s demand for products and services.
2. **Currency Fluctuations**: Changes in currency values can affect Apple’s net sales and gross margins, particularly if the U.S. dollar strengthens.
3. **Economic Factors Affecting Suppliers**: Economic conditions impacting suppliers and other partners can disrupt Apple’s operations.
Potential Impacts:
- **Consumer Confidence and Spending**: Can materially and adversely affect demand for Apple products and services.
- **Impact on Suppliers and Partners**: Economic conditions can influence their ability to meet commitments, affecting Apple’s operations.
- **Credit and Collectibility Risk**: Adverse conditions can increase risks related to trade receivables and financial instruments.
- **Debt and Liquidity**: Economic downturns could limit Apple's ability to issue new debt and reduce liquidity.
- **Stock Price and Financial Performance**: Overall, these risks can materially impact Apple's business, financial condition, and stock price.</t>
  </si>
  <si>
    <t>What is management's belief regarding Apple's capability to satisfy liquidity requirements and capital return program over the next 12 months?</t>
  </si>
  <si>
    <t>Same conclusion</t>
  </si>
  <si>
    <t>Management believes unrestricted cash, equivalents and marketable securities (~$157B), plus ongoing operations and debt access, will satisfy requirements for 12+ months.</t>
  </si>
  <si>
    <t>The Company believes its balances of cash, cash equivalents, and marketable securities, which totaled $132.4 billion as of September 27, 2025, along with cash generated by ongoing operations and continued access to debt markets, will be sufficient to satisfy its cash requirements and capital return program over the next 12 months and beyond.</t>
  </si>
  <si>
    <t>Management believes that Apple's balances of cash, cash equivalents, and marketable securities, totaling $132.4 billion as of September 27, 2025, along with cash generated by ongoing operations and continued access to debt markets, will be sufficient to satisfy its cash requirements and capital return program over the next 12 months and beyond.</t>
  </si>
  <si>
    <t>What does the MD&amp;A discussion say about the new USA tariffs introduced in 2025? How will Apple be affected?</t>
  </si>
  <si>
    <t>Not mentioned in provided context</t>
  </si>
  <si>
    <t>The provided context does not mention the new USA tariffs introduced in 2025.</t>
  </si>
  <si>
    <t>The MD&amp;A discussion states that new U.S. tariffs were announced in the second quarter of 2025 on imports from several countries, including China, India, Japan, South Korea, Taiwan, Vietnam, and the EU. Apple could be adversely affected by these tariffs, as they can impact the company's products and supply chain. This includes potential increases in costs for raw materials and components, which might affect pricing and profit margins. The overall magnitude and duration of these measures could lead to a shift in consumer spending, negative consumer sentiment, and an adverse impact on Apple's business and operations.</t>
  </si>
  <si>
    <t>How does the company describe its competitors and market dynamics? Is Apple cautious, assertive or aggressive?</t>
  </si>
  <si>
    <t>Cautious</t>
  </si>
  <si>
    <t>Highly competitive and rapidly changing markets, aggressive price competition, frequent new products, rapid tech change, larger competitors with broader lines. Apple's tone is cautious and risk-focused.</t>
  </si>
  <si>
    <t>The company describes its market dynamics as highly competitive, characterized by aggressive price competition, downward pressure on gross margins, continual improvement in product performance, and price sensitivity. Competitors are noted to imitate the company’s products and approaches, and many seek to compete through aggressive pricing and very low-cost structures. Apple seems to take a cautious approach by acknowledging the intense competition and potential challenges in maintaining a competitive advantage, highlighting the need for continual innovation, protection of intellectual property, and adaptation to rapid technological advancements.</t>
  </si>
  <si>
    <t>What innovation/market expansion opportunity would you recommend to Apple? Give your reasons.</t>
  </si>
  <si>
    <t>Expected student-driven recommendation</t>
  </si>
  <si>
    <t>Cannot find the answer — creative/analytical question requiring student analysis.</t>
  </si>
  <si>
    <t>To recommend an innovation or market expansion opportunity for Apple, we can consider leveraging its existing strengths and market position. Based on the information from the 10-K form, here are a few suggestions:
1. **Enhanced Services Ecosystem:**
   - **Reason:** Apple already has a robust ecosystem with products and services working seamlessly together. Expanding services like Apple Music, Fitness+, and Apple TV+ into emerging markets or enhancing them with new features could drive further engagement and revenue.
2. **Sustainability Initiatives:**
   - **Reason:** With a growing global focus on sustainability, Apple can lead in green technology by investing in eco-friendly innovations and products. This aligns with consumer preferences and can enhance Apple’s brand image.
3. **Augmented Reality (AR) and Virtual Reality (VR):**
   - **Reason:** Given Apple’s technological expertise, expanding into AR and VR could open new opportunities in entertainment, gaming, and enterprise solutions. This aligns with current tech trends and consumer interest.
4. **Healthcare Innovations:**
   - **Reason:** Building on the success of the Apple Watch’s health features, Apple can expand into more advanced healthcare solutions, leveraging its technology for preventive health and wellness.
These recommendations align with Apple's strategic focus on technology and innovation, ensuring continued growth and market leadership.</t>
  </si>
  <si>
    <t>Summarize the overall financial health of Apple.</t>
  </si>
  <si>
    <t>Profitability, cash strength, leverage, buybacks</t>
  </si>
  <si>
    <t>Strong profitability ($391B net sales, $93.7B operating income in 2024), very strong cash generation ($118.3B from operations), solid liquidity, meaningful leverage ($308B liabilities), large capital returns ($94.9B buybacks). Highly profitable, cash-generative company.</t>
  </si>
  <si>
    <t>I cannot find specific information about the overall financial health of Apple in the provided document excerpts. The documents include certification statements and risk factors but not detailed financial health analysis.</t>
  </si>
  <si>
    <t>Suggest one area where Apple can improve its efficiency.</t>
  </si>
  <si>
    <t>Supply chain and sourcing efficiency</t>
  </si>
  <si>
    <t>Supply chain resilience — reduce reliance on single-source suppliers and geographically concentrated manufacturing.</t>
  </si>
  <si>
    <t>Propose a strategic initiative that Apple could implement next year in order to strengthen revenue growth.</t>
  </si>
  <si>
    <t>Services expansion and ecosystem monetization</t>
  </si>
  <si>
    <t>Bundled Services growth initiative — expand and re-package Digital Content subscriptions, iCloud+, Apple Pay, Apple Card into a higher-value bundle targeting families and SMBs.</t>
  </si>
  <si>
    <t>t-Test: Paired Two Sample for Means</t>
  </si>
  <si>
    <t>Mean</t>
  </si>
  <si>
    <t>Variance</t>
  </si>
  <si>
    <t>Observations</t>
  </si>
  <si>
    <t>Pearson Correlation</t>
  </si>
  <si>
    <t>Hypothesized Mean Difference</t>
  </si>
  <si>
    <t>df</t>
  </si>
  <si>
    <t>t Stat</t>
  </si>
  <si>
    <t>P(T&lt;=t) one-tail</t>
  </si>
  <si>
    <t>t Critical one-tail</t>
  </si>
  <si>
    <t>P(T&lt;=t) two-tail</t>
  </si>
  <si>
    <t>t Critical two-tail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</si>
</sst>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x14ac:knownFonts="1">
    <font>
      <sz val="11"/>
      <color theme="1"/>
      <name val="Calibri"/>
      <family val="2"/>
      <scheme val="minor"/>
    </font>
    <font>
      <b/>
      <sz val="10"/>
      <color rgb="FFFFFFFF"/>
      <name val="Calibri"/>
      <family val="2"/>
    </font>
    <font>
      <sz val="10"/>
      <color rgb="FF000000"/>
      <name val="Calibri"/>
      <family val="2"/>
    </font>
    <font>
      <b/>
      <sz val="10"/>
      <color rgb="FF000000"/>
      <name val="Calibri"/>
      <family val="2"/>
    </font>
    <font>
      <b/>
      <sz val="10"/>
      <name val="Calibri"/>
      <family val="2"/>
    </font>
    <font>
      <b/>
      <sz val="9"/>
      <color rgb="FF4285F4"/>
      <name val="Calibri"/>
      <family val="2"/>
    </font>
    <font>
      <b/>
      <sz val="9"/>
      <color rgb="FF1877F2"/>
      <name val="Calibri"/>
      <family val="2"/>
    </font>
    <font>
      <b/>
      <sz val="9"/>
      <color rgb="FF006699"/>
      <name val="Calibri"/>
      <family val="2"/>
    </font>
    <font>
      <b/>
      <sz val="9"/>
      <color rgb="FF00A4EF"/>
      <name val="Calibri"/>
      <family val="2"/>
    </font>
    <font>
      <b/>
      <sz val="9"/>
      <color rgb="FF555555"/>
      <name val="Calibri"/>
      <family val="2"/>
    </font>
    <font>
      <b/>
      <sz val="11"/>
      <color rgb="FFFFFFFF"/>
      <name val="Calibri"/>
      <family val="2"/>
    </font>
    <font>
      <sz val="10"/>
      <name val="Calibri"/>
      <family val="2"/>
    </font>
    <font>
      <i/>
      <sz val="11"/>
      <color theme="1"/>
      <name val="Calibri"/>
      <family val="2"/>
      <scheme val="minor"/>
    </font>
  </fonts>
  <fills count="25">
    <fill>
      <patternFill patternType="none"/>
    </fill>
    <fill>
      <patternFill patternType="gray125"/>
    </fill>
    <fill>
      <patternFill patternType="solid">
        <fgColor rgb="FF4285F4"/>
      </patternFill>
    </fill>
    <fill>
      <patternFill patternType="solid">
        <fgColor rgb="FFFFF2CC"/>
      </patternFill>
    </fill>
    <fill>
      <patternFill patternType="solid">
        <fgColor rgb="FFE8F0FE"/>
      </patternFill>
    </fill>
    <fill>
      <patternFill patternType="solid">
        <fgColor rgb="FFC6EFCE"/>
      </patternFill>
    </fill>
    <fill>
      <patternFill patternType="solid">
        <fgColor rgb="FFFF9999"/>
      </patternFill>
    </fill>
    <fill>
      <patternFill patternType="solid">
        <fgColor rgb="FFFFFFFF"/>
      </patternFill>
    </fill>
    <fill>
      <patternFill patternType="solid">
        <fgColor rgb="FFD4EFC8"/>
      </patternFill>
    </fill>
    <fill>
      <patternFill patternType="solid">
        <fgColor rgb="FFFCE4D6"/>
      </patternFill>
    </fill>
    <fill>
      <patternFill patternType="solid">
        <fgColor rgb="FFFFCC99"/>
      </patternFill>
    </fill>
    <fill>
      <patternFill patternType="solid">
        <fgColor rgb="FFE2EFDA"/>
      </patternFill>
    </fill>
    <fill>
      <patternFill patternType="solid">
        <fgColor rgb="FFEDE7F6"/>
      </patternFill>
    </fill>
    <fill>
      <patternFill patternType="solid">
        <fgColor rgb="FFE2EFC2"/>
      </patternFill>
    </fill>
    <fill>
      <patternFill patternType="solid">
        <fgColor rgb="FF1877F2"/>
      </patternFill>
    </fill>
    <fill>
      <patternFill patternType="solid">
        <fgColor rgb="FFE7F0FF"/>
      </patternFill>
    </fill>
    <fill>
      <patternFill patternType="solid">
        <fgColor rgb="FFFFC7CE"/>
      </patternFill>
    </fill>
    <fill>
      <patternFill patternType="solid">
        <fgColor rgb="FFFFEB9C"/>
      </patternFill>
    </fill>
    <fill>
      <patternFill patternType="solid">
        <fgColor rgb="FF006699"/>
      </patternFill>
    </fill>
    <fill>
      <patternFill patternType="solid">
        <fgColor rgb="FFE0F0F8"/>
      </patternFill>
    </fill>
    <fill>
      <patternFill patternType="solid">
        <fgColor rgb="FF00A4EF"/>
      </patternFill>
    </fill>
    <fill>
      <patternFill patternType="solid">
        <fgColor rgb="FFE5F6FF"/>
      </patternFill>
    </fill>
    <fill>
      <patternFill patternType="solid">
        <fgColor rgb="FF555555"/>
      </patternFill>
    </fill>
    <fill>
      <patternFill patternType="solid">
        <fgColor rgb="FFF0F0F0"/>
      </patternFill>
    </fill>
    <fill>
      <patternFill patternType="solid">
        <fgColor rgb="FFC10000"/>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medium">
        <color rgb="FF888888"/>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75">
    <xf numFmtId="0" fontId="0" fillId="0" borderId="0" xfId="0"/>
    <xf numFmtId="0" fontId="10" fillId="2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11" fillId="3" borderId="1" xfId="0" applyFont="1" applyFill="1" applyBorder="1" applyAlignment="1">
      <alignment horizontal="center" vertical="center"/>
    </xf>
    <xf numFmtId="0" fontId="11" fillId="16" borderId="1" xfId="0" applyFont="1" applyFill="1" applyBorder="1" applyAlignment="1">
      <alignment horizontal="center" vertical="center"/>
    </xf>
    <xf numFmtId="0" fontId="11" fillId="17"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15" borderId="1" xfId="0" applyFont="1" applyFill="1" applyBorder="1" applyAlignment="1">
      <alignment horizontal="center" vertical="center"/>
    </xf>
    <xf numFmtId="0" fontId="11" fillId="6"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19" borderId="1" xfId="0" applyFont="1" applyFill="1" applyBorder="1" applyAlignment="1">
      <alignment horizontal="center" vertical="center"/>
    </xf>
    <xf numFmtId="0" fontId="4" fillId="21" borderId="1" xfId="0" applyFont="1" applyFill="1" applyBorder="1" applyAlignment="1">
      <alignment horizontal="center" vertical="center"/>
    </xf>
    <xf numFmtId="0" fontId="11" fillId="10" borderId="1" xfId="0" applyFont="1" applyFill="1" applyBorder="1" applyAlignment="1">
      <alignment horizontal="center" vertical="center"/>
    </xf>
    <xf numFmtId="0" fontId="4" fillId="23" borderId="1" xfId="0" applyFont="1" applyFill="1" applyBorder="1" applyAlignment="1">
      <alignment horizontal="center" vertical="center"/>
    </xf>
    <xf numFmtId="0" fontId="10" fillId="24" borderId="1" xfId="0" applyFont="1" applyFill="1" applyBorder="1" applyAlignment="1">
      <alignment horizontal="center" vertical="center"/>
    </xf>
    <xf numFmtId="0" fontId="4" fillId="17" borderId="1" xfId="0" applyFont="1" applyFill="1" applyBorder="1" applyAlignment="1">
      <alignment horizontal="center" vertical="center"/>
    </xf>
    <xf numFmtId="0" fontId="4" fillId="16"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0" fontId="4" fillId="6" borderId="1" xfId="0" applyFont="1" applyFill="1" applyBorder="1" applyAlignment="1">
      <alignment horizontal="center" vertical="center"/>
    </xf>
    <xf numFmtId="0" fontId="2" fillId="7" borderId="1" xfId="0" applyFont="1" applyFill="1" applyBorder="1" applyAlignment="1">
      <alignment horizontal="left" vertical="top" wrapText="1"/>
    </xf>
    <xf numFmtId="0" fontId="4" fillId="8" borderId="1" xfId="0" applyFont="1" applyFill="1" applyBorder="1" applyAlignment="1">
      <alignment horizontal="center" vertical="center"/>
    </xf>
    <xf numFmtId="0" fontId="2" fillId="3"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2" fillId="7" borderId="2" xfId="0" applyFont="1" applyFill="1" applyBorder="1" applyAlignment="1">
      <alignment horizontal="left" vertical="top" wrapText="1"/>
    </xf>
    <xf numFmtId="0" fontId="4" fillId="5" borderId="2" xfId="0" applyFont="1" applyFill="1" applyBorder="1" applyAlignment="1">
      <alignment horizontal="center" vertical="center"/>
    </xf>
    <xf numFmtId="0" fontId="2" fillId="9"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4" fillId="10" borderId="1" xfId="0" applyFont="1" applyFill="1" applyBorder="1" applyAlignment="1">
      <alignment horizontal="center" vertical="center"/>
    </xf>
    <xf numFmtId="0" fontId="2" fillId="9" borderId="2"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4" fillId="6" borderId="2" xfId="0" applyFont="1" applyFill="1" applyBorder="1" applyAlignment="1">
      <alignment horizontal="center" vertical="center"/>
    </xf>
    <xf numFmtId="0" fontId="2"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2" fillId="11" borderId="2" xfId="0" applyFont="1" applyFill="1" applyBorder="1" applyAlignment="1">
      <alignment horizontal="center" vertical="center" wrapText="1"/>
    </xf>
    <xf numFmtId="0" fontId="3" fillId="11" borderId="2"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4" fillId="13" borderId="1" xfId="0" applyFont="1" applyFill="1" applyBorder="1" applyAlignment="1">
      <alignment horizontal="center" vertical="center"/>
    </xf>
    <xf numFmtId="0" fontId="2" fillId="12" borderId="2"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4" fillId="8" borderId="2" xfId="0" applyFont="1" applyFill="1" applyBorder="1" applyAlignment="1">
      <alignment horizontal="center" vertical="center"/>
    </xf>
    <xf numFmtId="0" fontId="1" fillId="2" borderId="0" xfId="0" applyFont="1" applyFill="1" applyAlignment="1">
      <alignment horizontal="center" vertical="center"/>
    </xf>
    <xf numFmtId="0" fontId="5" fillId="0" borderId="0" xfId="0" applyFont="1" applyAlignment="1">
      <alignment horizontal="right" vertical="center"/>
    </xf>
    <xf numFmtId="2" fontId="1" fillId="2" borderId="0" xfId="0" applyNumberFormat="1" applyFont="1" applyFill="1" applyAlignment="1">
      <alignment horizontal="center" vertical="center"/>
    </xf>
    <xf numFmtId="0" fontId="1" fillId="14" borderId="1" xfId="0" applyFont="1" applyFill="1" applyBorder="1" applyAlignment="1">
      <alignment horizontal="center" vertical="center" wrapText="1"/>
    </xf>
    <xf numFmtId="0" fontId="2" fillId="15" borderId="1" xfId="0" applyFont="1" applyFill="1" applyBorder="1" applyAlignment="1">
      <alignment horizontal="left" vertical="top" wrapText="1"/>
    </xf>
    <xf numFmtId="0" fontId="4" fillId="16" borderId="2" xfId="0" applyFont="1" applyFill="1" applyBorder="1" applyAlignment="1">
      <alignment horizontal="center" vertical="center"/>
    </xf>
    <xf numFmtId="0" fontId="1" fillId="14" borderId="0" xfId="0" applyFont="1" applyFill="1" applyAlignment="1">
      <alignment horizontal="center" vertical="center"/>
    </xf>
    <xf numFmtId="0" fontId="6" fillId="0" borderId="0" xfId="0" applyFont="1" applyAlignment="1">
      <alignment horizontal="right" vertical="center"/>
    </xf>
    <xf numFmtId="2" fontId="1" fillId="14" borderId="0" xfId="0" applyNumberFormat="1" applyFont="1" applyFill="1" applyAlignment="1">
      <alignment horizontal="center" vertical="center"/>
    </xf>
    <xf numFmtId="0" fontId="1" fillId="18" borderId="1" xfId="0" applyFont="1" applyFill="1" applyBorder="1" applyAlignment="1">
      <alignment horizontal="center" vertical="center" wrapText="1"/>
    </xf>
    <xf numFmtId="0" fontId="2" fillId="19" borderId="1" xfId="0" applyFont="1" applyFill="1" applyBorder="1" applyAlignment="1">
      <alignment horizontal="left" vertical="top" wrapText="1"/>
    </xf>
    <xf numFmtId="0" fontId="4" fillId="17" borderId="2" xfId="0" applyFont="1" applyFill="1" applyBorder="1" applyAlignment="1">
      <alignment horizontal="center" vertical="center"/>
    </xf>
    <xf numFmtId="0" fontId="1" fillId="18" borderId="0" xfId="0" applyFont="1" applyFill="1" applyAlignment="1">
      <alignment horizontal="center" vertical="center"/>
    </xf>
    <xf numFmtId="0" fontId="7" fillId="0" borderId="0" xfId="0" applyFont="1" applyAlignment="1">
      <alignment horizontal="right" vertical="center"/>
    </xf>
    <xf numFmtId="2" fontId="1" fillId="18" borderId="0" xfId="0" applyNumberFormat="1" applyFont="1" applyFill="1" applyAlignment="1">
      <alignment horizontal="center" vertical="center"/>
    </xf>
    <xf numFmtId="0" fontId="1" fillId="20" borderId="1" xfId="0" applyFont="1" applyFill="1" applyBorder="1" applyAlignment="1">
      <alignment horizontal="center" vertical="center" wrapText="1"/>
    </xf>
    <xf numFmtId="0" fontId="2" fillId="21" borderId="1" xfId="0" applyFont="1" applyFill="1" applyBorder="1" applyAlignment="1">
      <alignment horizontal="left" vertical="top" wrapText="1"/>
    </xf>
    <xf numFmtId="0" fontId="1" fillId="20" borderId="0" xfId="0" applyFont="1" applyFill="1" applyAlignment="1">
      <alignment horizontal="center" vertical="center"/>
    </xf>
    <xf numFmtId="0" fontId="8" fillId="0" borderId="0" xfId="0" applyFont="1" applyAlignment="1">
      <alignment horizontal="right" vertical="center"/>
    </xf>
    <xf numFmtId="2" fontId="1" fillId="20" borderId="0" xfId="0" applyNumberFormat="1" applyFont="1" applyFill="1" applyAlignment="1">
      <alignment horizontal="center" vertical="center"/>
    </xf>
    <xf numFmtId="0" fontId="1" fillId="22" borderId="1" xfId="0" applyFont="1" applyFill="1" applyBorder="1" applyAlignment="1">
      <alignment horizontal="center" vertical="center" wrapText="1"/>
    </xf>
    <xf numFmtId="0" fontId="2" fillId="23" borderId="1" xfId="0" applyFont="1" applyFill="1" applyBorder="1" applyAlignment="1">
      <alignment horizontal="left" vertical="top" wrapText="1"/>
    </xf>
    <xf numFmtId="0" fontId="1" fillId="22" borderId="0" xfId="0" applyFont="1" applyFill="1" applyAlignment="1">
      <alignment horizontal="center" vertical="center"/>
    </xf>
    <xf numFmtId="0" fontId="9" fillId="0" borderId="0" xfId="0" applyFont="1" applyAlignment="1">
      <alignment horizontal="right" vertical="center"/>
    </xf>
    <xf numFmtId="2" fontId="1" fillId="22" borderId="0" xfId="0" applyNumberFormat="1" applyFont="1" applyFill="1" applyAlignment="1">
      <alignment horizontal="center" vertical="center"/>
    </xf>
    <xf numFmtId="0" fontId="0" fillId="0" borderId="0" xfId="0" applyFill="1" applyBorder="1" applyAlignment="1"/>
    <xf numFmtId="0" fontId="0" fillId="0" borderId="3" xfId="0" applyFill="1" applyBorder="1" applyAlignment="1"/>
    <xf numFmtId="0" fontId="12" fillId="0" borderId="4" xfId="0" applyFont="1" applyFill="1" applyBorder="1" applyAlignment="1">
      <alignment horizontal="center"/>
    </xf>
    <xf numFmtId="164" fontId="0" fillId="0" borderId="0" xfId="0" applyNumberFormat="1" applyFill="1" applyBorder="1" applyAlignment="1"/>
    <xf numFmtId="164" fontId="0" fillId="0" borderId="3" xfId="0" applyNumberFormat="1" applyFill="1" applyBorder="1" applyAlignment="1"/>
    <xf numFmtId="11" fontId="0" fillId="0" borderId="0" xfId="0" applyNumberFormat="1"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10000"/>
  </sheetPr>
  <dimension ref="A1:E7"/>
  <sheetViews>
    <sheetView workbookViewId="0">
      <selection activeCell="C8" sqref="C8"/>
    </sheetView>
  </sheetViews>
  <sheetFormatPr baseColWidth="10" defaultColWidth="8.83203125" defaultRowHeight="15" x14ac:dyDescent="0.2"/>
  <cols>
    <col min="1" max="1" width="14" customWidth="1"/>
    <col min="2" max="2" width="16" customWidth="1"/>
    <col min="3" max="3" width="14" customWidth="1"/>
    <col min="4" max="4" width="18" customWidth="1"/>
    <col min="5" max="5" width="16" customWidth="1"/>
  </cols>
  <sheetData>
    <row r="1" spans="1:5" ht="28" customHeight="1" x14ac:dyDescent="0.2">
      <c r="A1" s="1" t="s">
        <v>0</v>
      </c>
      <c r="B1" s="1" t="s">
        <v>1</v>
      </c>
      <c r="C1" s="1" t="s">
        <v>2</v>
      </c>
      <c r="D1" s="1" t="s">
        <v>3</v>
      </c>
      <c r="E1" s="1" t="s">
        <v>4</v>
      </c>
    </row>
    <row r="2" spans="1:5" ht="22" customHeight="1" x14ac:dyDescent="0.2">
      <c r="A2" s="2" t="s">
        <v>5</v>
      </c>
      <c r="B2" s="3">
        <v>3.81</v>
      </c>
      <c r="C2" s="4">
        <v>1.25</v>
      </c>
      <c r="D2" s="5">
        <v>2.5</v>
      </c>
      <c r="E2" s="6" t="s">
        <v>6</v>
      </c>
    </row>
    <row r="3" spans="1:5" ht="22" customHeight="1" x14ac:dyDescent="0.2">
      <c r="A3" s="7" t="s">
        <v>7</v>
      </c>
      <c r="B3" s="5">
        <v>2.84</v>
      </c>
      <c r="C3" s="8">
        <v>0.91</v>
      </c>
      <c r="D3" s="5">
        <v>2.97</v>
      </c>
      <c r="E3" s="9" t="s">
        <v>8</v>
      </c>
    </row>
    <row r="4" spans="1:5" ht="22" customHeight="1" x14ac:dyDescent="0.2">
      <c r="A4" s="10" t="s">
        <v>9</v>
      </c>
      <c r="B4" s="5">
        <v>3</v>
      </c>
      <c r="C4" s="8">
        <v>0.62</v>
      </c>
      <c r="D4" s="5">
        <v>2.94</v>
      </c>
      <c r="E4" s="6" t="s">
        <v>6</v>
      </c>
    </row>
    <row r="5" spans="1:5" ht="22" customHeight="1" x14ac:dyDescent="0.2">
      <c r="A5" s="11" t="s">
        <v>10</v>
      </c>
      <c r="B5" s="5">
        <v>2.94</v>
      </c>
      <c r="C5" s="4">
        <v>1.56</v>
      </c>
      <c r="D5" s="12">
        <v>2.38</v>
      </c>
      <c r="E5" s="6" t="s">
        <v>6</v>
      </c>
    </row>
    <row r="6" spans="1:5" ht="22" customHeight="1" x14ac:dyDescent="0.2">
      <c r="A6" s="13" t="s">
        <v>11</v>
      </c>
      <c r="B6" s="5">
        <v>2.81</v>
      </c>
      <c r="C6" s="8">
        <v>0.94</v>
      </c>
      <c r="D6" s="5">
        <v>3.38</v>
      </c>
      <c r="E6" s="9" t="s">
        <v>8</v>
      </c>
    </row>
    <row r="7" spans="1:5" ht="22" customHeight="1" x14ac:dyDescent="0.2">
      <c r="A7" s="14" t="s">
        <v>12</v>
      </c>
      <c r="B7" s="15">
        <v>3.1</v>
      </c>
      <c r="C7" s="16">
        <v>1.1000000000000001</v>
      </c>
      <c r="D7" s="15">
        <v>2.8</v>
      </c>
      <c r="E7" s="6"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285F4"/>
  </sheetPr>
  <dimension ref="A1:J18"/>
  <sheetViews>
    <sheetView zoomScale="140" zoomScaleNormal="140" workbookViewId="0">
      <pane xSplit="2" ySplit="1" topLeftCell="C13" activePane="bottomRight" state="frozen"/>
      <selection pane="topRight"/>
      <selection pane="bottomLeft"/>
      <selection pane="bottomRight" activeCell="J2" sqref="J2:J17"/>
    </sheetView>
  </sheetViews>
  <sheetFormatPr baseColWidth="10" defaultColWidth="8.83203125" defaultRowHeight="15" x14ac:dyDescent="0.2"/>
  <cols>
    <col min="1" max="1" width="5" customWidth="1"/>
    <col min="2" max="2" width="13" customWidth="1"/>
    <col min="3" max="3" width="42" customWidth="1"/>
    <col min="4" max="4" width="32" customWidth="1"/>
    <col min="5" max="5" width="42" customWidth="1"/>
    <col min="6" max="6" width="8" customWidth="1"/>
    <col min="7" max="7" width="42" customWidth="1"/>
    <col min="8" max="8" width="8" customWidth="1"/>
    <col min="9" max="9" width="42" customWidth="1"/>
    <col min="10" max="10" width="8" customWidth="1"/>
  </cols>
  <sheetData>
    <row r="1" spans="1:10" ht="28" customHeight="1" x14ac:dyDescent="0.2">
      <c r="A1" s="17" t="s">
        <v>13</v>
      </c>
      <c r="B1" s="17" t="s">
        <v>14</v>
      </c>
      <c r="C1" s="17" t="s">
        <v>15</v>
      </c>
      <c r="D1" s="17" t="s">
        <v>16</v>
      </c>
      <c r="E1" s="17" t="s">
        <v>17</v>
      </c>
      <c r="F1" s="17" t="s">
        <v>18</v>
      </c>
      <c r="G1" s="17" t="s">
        <v>19</v>
      </c>
      <c r="H1" s="17" t="s">
        <v>20</v>
      </c>
      <c r="I1" s="17" t="s">
        <v>21</v>
      </c>
      <c r="J1" s="17" t="s">
        <v>22</v>
      </c>
    </row>
    <row r="2" spans="1:10" ht="72" customHeight="1" x14ac:dyDescent="0.2">
      <c r="A2" s="18">
        <v>1</v>
      </c>
      <c r="B2" s="19" t="s">
        <v>23</v>
      </c>
      <c r="C2" s="20" t="s">
        <v>24</v>
      </c>
      <c r="D2" s="20" t="s">
        <v>25</v>
      </c>
      <c r="E2" s="20" t="s">
        <v>26</v>
      </c>
      <c r="F2" s="6">
        <v>5</v>
      </c>
      <c r="G2" s="20" t="s">
        <v>27</v>
      </c>
      <c r="H2" s="21">
        <v>0</v>
      </c>
      <c r="I2" s="20" t="s">
        <v>28</v>
      </c>
      <c r="J2" s="21">
        <v>0</v>
      </c>
    </row>
    <row r="3" spans="1:10" ht="72" customHeight="1" x14ac:dyDescent="0.2">
      <c r="A3" s="18">
        <v>2</v>
      </c>
      <c r="B3" s="19" t="s">
        <v>23</v>
      </c>
      <c r="C3" s="22" t="s">
        <v>29</v>
      </c>
      <c r="D3" s="22" t="s">
        <v>30</v>
      </c>
      <c r="E3" s="22" t="s">
        <v>31</v>
      </c>
      <c r="F3" s="6">
        <v>5</v>
      </c>
      <c r="G3" s="22" t="s">
        <v>32</v>
      </c>
      <c r="H3" s="6">
        <v>5</v>
      </c>
      <c r="I3" s="22" t="s">
        <v>32</v>
      </c>
      <c r="J3" s="6">
        <v>5</v>
      </c>
    </row>
    <row r="4" spans="1:10" ht="72" customHeight="1" x14ac:dyDescent="0.2">
      <c r="A4" s="18">
        <v>3</v>
      </c>
      <c r="B4" s="19" t="s">
        <v>23</v>
      </c>
      <c r="C4" s="20" t="s">
        <v>33</v>
      </c>
      <c r="D4" s="20" t="s">
        <v>34</v>
      </c>
      <c r="E4" s="20" t="s">
        <v>35</v>
      </c>
      <c r="F4" s="23">
        <v>5</v>
      </c>
      <c r="G4" s="20" t="s">
        <v>36</v>
      </c>
      <c r="H4" s="6">
        <v>5</v>
      </c>
      <c r="I4" s="20" t="s">
        <v>37</v>
      </c>
      <c r="J4" s="6">
        <v>5</v>
      </c>
    </row>
    <row r="5" spans="1:10" ht="72" customHeight="1" x14ac:dyDescent="0.2">
      <c r="A5" s="24">
        <v>4</v>
      </c>
      <c r="B5" s="25" t="s">
        <v>23</v>
      </c>
      <c r="C5" s="26" t="s">
        <v>38</v>
      </c>
      <c r="D5" s="26" t="s">
        <v>39</v>
      </c>
      <c r="E5" s="26" t="s">
        <v>40</v>
      </c>
      <c r="F5" s="27">
        <v>5</v>
      </c>
      <c r="G5" s="26" t="s">
        <v>41</v>
      </c>
      <c r="H5" s="27">
        <v>5</v>
      </c>
      <c r="I5" s="26" t="s">
        <v>41</v>
      </c>
      <c r="J5" s="27">
        <v>5</v>
      </c>
    </row>
    <row r="6" spans="1:10" ht="72" customHeight="1" x14ac:dyDescent="0.2">
      <c r="A6" s="28">
        <v>5</v>
      </c>
      <c r="B6" s="29" t="s">
        <v>42</v>
      </c>
      <c r="C6" s="20" t="s">
        <v>43</v>
      </c>
      <c r="D6" s="20" t="s">
        <v>44</v>
      </c>
      <c r="E6" s="20" t="s">
        <v>45</v>
      </c>
      <c r="F6" s="6">
        <v>5</v>
      </c>
      <c r="G6" s="20" t="s">
        <v>27</v>
      </c>
      <c r="H6" s="21">
        <v>0</v>
      </c>
      <c r="I6" s="20" t="s">
        <v>46</v>
      </c>
      <c r="J6" s="30">
        <v>2</v>
      </c>
    </row>
    <row r="7" spans="1:10" ht="72" customHeight="1" x14ac:dyDescent="0.2">
      <c r="A7" s="28">
        <v>6</v>
      </c>
      <c r="B7" s="29" t="s">
        <v>42</v>
      </c>
      <c r="C7" s="22" t="s">
        <v>47</v>
      </c>
      <c r="D7" s="22" t="s">
        <v>48</v>
      </c>
      <c r="E7" s="22" t="s">
        <v>27</v>
      </c>
      <c r="F7" s="21">
        <v>0</v>
      </c>
      <c r="G7" s="22" t="s">
        <v>27</v>
      </c>
      <c r="H7" s="21">
        <v>0</v>
      </c>
      <c r="I7" s="22" t="s">
        <v>49</v>
      </c>
      <c r="J7" s="21">
        <v>0</v>
      </c>
    </row>
    <row r="8" spans="1:10" ht="72" customHeight="1" x14ac:dyDescent="0.2">
      <c r="A8" s="28">
        <v>7</v>
      </c>
      <c r="B8" s="29" t="s">
        <v>42</v>
      </c>
      <c r="C8" s="20" t="s">
        <v>50</v>
      </c>
      <c r="D8" s="20" t="s">
        <v>51</v>
      </c>
      <c r="E8" s="20" t="s">
        <v>52</v>
      </c>
      <c r="F8" s="6">
        <v>5</v>
      </c>
      <c r="G8" s="20" t="s">
        <v>27</v>
      </c>
      <c r="H8" s="21">
        <v>0</v>
      </c>
      <c r="I8" s="20" t="s">
        <v>53</v>
      </c>
      <c r="J8" s="23">
        <v>4</v>
      </c>
    </row>
    <row r="9" spans="1:10" ht="72" customHeight="1" x14ac:dyDescent="0.2">
      <c r="A9" s="31">
        <v>8</v>
      </c>
      <c r="B9" s="32" t="s">
        <v>42</v>
      </c>
      <c r="C9" s="26" t="s">
        <v>54</v>
      </c>
      <c r="D9" s="26" t="s">
        <v>55</v>
      </c>
      <c r="E9" s="26" t="s">
        <v>56</v>
      </c>
      <c r="F9" s="27">
        <v>5</v>
      </c>
      <c r="G9" s="26" t="s">
        <v>27</v>
      </c>
      <c r="H9" s="33">
        <v>0</v>
      </c>
      <c r="I9" s="26" t="s">
        <v>57</v>
      </c>
      <c r="J9" s="27">
        <v>5</v>
      </c>
    </row>
    <row r="10" spans="1:10" ht="72" customHeight="1" x14ac:dyDescent="0.2">
      <c r="A10" s="34">
        <v>9</v>
      </c>
      <c r="B10" s="35" t="s">
        <v>58</v>
      </c>
      <c r="C10" s="20" t="s">
        <v>59</v>
      </c>
      <c r="D10" s="20" t="s">
        <v>60</v>
      </c>
      <c r="E10" s="20" t="s">
        <v>61</v>
      </c>
      <c r="F10" s="6">
        <v>5</v>
      </c>
      <c r="G10" s="20" t="s">
        <v>27</v>
      </c>
      <c r="H10" s="21">
        <v>0</v>
      </c>
      <c r="I10" s="20" t="s">
        <v>62</v>
      </c>
      <c r="J10" s="21">
        <v>0</v>
      </c>
    </row>
    <row r="11" spans="1:10" ht="72" customHeight="1" x14ac:dyDescent="0.2">
      <c r="A11" s="34">
        <v>10</v>
      </c>
      <c r="B11" s="35" t="s">
        <v>58</v>
      </c>
      <c r="C11" s="22" t="s">
        <v>63</v>
      </c>
      <c r="D11" s="22" t="s">
        <v>64</v>
      </c>
      <c r="E11" s="22" t="s">
        <v>65</v>
      </c>
      <c r="F11" s="30">
        <v>2</v>
      </c>
      <c r="G11" s="22" t="s">
        <v>27</v>
      </c>
      <c r="H11" s="21">
        <v>0</v>
      </c>
      <c r="I11" s="22" t="s">
        <v>66</v>
      </c>
      <c r="J11" s="21">
        <v>0</v>
      </c>
    </row>
    <row r="12" spans="1:10" ht="72" customHeight="1" x14ac:dyDescent="0.2">
      <c r="A12" s="34">
        <v>11</v>
      </c>
      <c r="B12" s="35" t="s">
        <v>58</v>
      </c>
      <c r="C12" s="20" t="s">
        <v>67</v>
      </c>
      <c r="D12" s="20" t="s">
        <v>68</v>
      </c>
      <c r="E12" s="20" t="s">
        <v>69</v>
      </c>
      <c r="F12" s="6">
        <v>5</v>
      </c>
      <c r="G12" s="20" t="s">
        <v>70</v>
      </c>
      <c r="H12" s="6">
        <v>5</v>
      </c>
      <c r="I12" s="20" t="s">
        <v>71</v>
      </c>
      <c r="J12" s="6">
        <v>5</v>
      </c>
    </row>
    <row r="13" spans="1:10" ht="72" customHeight="1" x14ac:dyDescent="0.2">
      <c r="A13" s="36">
        <v>12</v>
      </c>
      <c r="B13" s="37" t="s">
        <v>58</v>
      </c>
      <c r="C13" s="26" t="s">
        <v>72</v>
      </c>
      <c r="D13" s="26" t="s">
        <v>73</v>
      </c>
      <c r="E13" s="26" t="s">
        <v>27</v>
      </c>
      <c r="F13" s="33">
        <v>0</v>
      </c>
      <c r="G13" s="26" t="s">
        <v>27</v>
      </c>
      <c r="H13" s="33">
        <v>0</v>
      </c>
      <c r="I13" s="26" t="s">
        <v>74</v>
      </c>
      <c r="J13" s="33">
        <v>0</v>
      </c>
    </row>
    <row r="14" spans="1:10" ht="72" customHeight="1" x14ac:dyDescent="0.2">
      <c r="A14" s="38">
        <v>13</v>
      </c>
      <c r="B14" s="39" t="s">
        <v>75</v>
      </c>
      <c r="C14" s="20" t="s">
        <v>76</v>
      </c>
      <c r="D14" s="20" t="s">
        <v>77</v>
      </c>
      <c r="E14" s="20" t="s">
        <v>78</v>
      </c>
      <c r="F14" s="23">
        <v>5</v>
      </c>
      <c r="G14" s="20" t="s">
        <v>27</v>
      </c>
      <c r="H14" s="21">
        <v>0</v>
      </c>
      <c r="I14" s="20" t="s">
        <v>79</v>
      </c>
      <c r="J14" s="21">
        <v>0</v>
      </c>
    </row>
    <row r="15" spans="1:10" ht="72" customHeight="1" x14ac:dyDescent="0.2">
      <c r="A15" s="38">
        <v>14</v>
      </c>
      <c r="B15" s="39" t="s">
        <v>75</v>
      </c>
      <c r="C15" s="22" t="s">
        <v>80</v>
      </c>
      <c r="D15" s="22" t="s">
        <v>81</v>
      </c>
      <c r="E15" s="22" t="s">
        <v>82</v>
      </c>
      <c r="F15" s="21">
        <v>4</v>
      </c>
      <c r="G15" s="22" t="s">
        <v>27</v>
      </c>
      <c r="H15" s="21">
        <v>0</v>
      </c>
      <c r="I15" s="22" t="s">
        <v>27</v>
      </c>
      <c r="J15" s="40">
        <v>0</v>
      </c>
    </row>
    <row r="16" spans="1:10" ht="72" customHeight="1" x14ac:dyDescent="0.2">
      <c r="A16" s="38">
        <v>15</v>
      </c>
      <c r="B16" s="39" t="s">
        <v>75</v>
      </c>
      <c r="C16" s="20" t="s">
        <v>83</v>
      </c>
      <c r="D16" s="20" t="s">
        <v>84</v>
      </c>
      <c r="E16" s="20" t="s">
        <v>85</v>
      </c>
      <c r="F16" s="6">
        <v>5</v>
      </c>
      <c r="G16" s="20" t="s">
        <v>27</v>
      </c>
      <c r="H16" s="21">
        <v>0</v>
      </c>
      <c r="I16" s="20" t="s">
        <v>86</v>
      </c>
      <c r="J16" s="21">
        <v>0</v>
      </c>
    </row>
    <row r="17" spans="1:10" ht="72" customHeight="1" x14ac:dyDescent="0.2">
      <c r="A17" s="41">
        <v>16</v>
      </c>
      <c r="B17" s="42" t="s">
        <v>75</v>
      </c>
      <c r="C17" s="26" t="s">
        <v>87</v>
      </c>
      <c r="D17" s="26" t="s">
        <v>88</v>
      </c>
      <c r="E17" s="26" t="s">
        <v>89</v>
      </c>
      <c r="F17" s="27">
        <v>5</v>
      </c>
      <c r="G17" s="26" t="s">
        <v>27</v>
      </c>
      <c r="H17" s="33">
        <v>0</v>
      </c>
      <c r="I17" s="26" t="s">
        <v>90</v>
      </c>
      <c r="J17" s="43">
        <v>5</v>
      </c>
    </row>
    <row r="18" spans="1:10" ht="22" customHeight="1" x14ac:dyDescent="0.2">
      <c r="A18" s="44" t="s">
        <v>91</v>
      </c>
      <c r="E18" s="45" t="s">
        <v>92</v>
      </c>
      <c r="F18" s="46">
        <f>AVERAGE(F2:F17)</f>
        <v>4.125</v>
      </c>
      <c r="G18" s="45" t="s">
        <v>93</v>
      </c>
      <c r="H18" s="46">
        <f>AVERAGE(H2:H17)</f>
        <v>1.25</v>
      </c>
      <c r="I18" s="45" t="s">
        <v>94</v>
      </c>
      <c r="J18" s="46">
        <f>AVERAGE(J2:J17)</f>
        <v>2.25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877F2"/>
  </sheetPr>
  <dimension ref="A1:J18"/>
  <sheetViews>
    <sheetView zoomScale="120" zoomScaleNormal="120" workbookViewId="0">
      <pane xSplit="2" ySplit="1" topLeftCell="C13" activePane="bottomRight" state="frozen"/>
      <selection pane="topRight"/>
      <selection pane="bottomLeft"/>
      <selection pane="bottomRight" activeCell="J2" sqref="J2:J17"/>
    </sheetView>
  </sheetViews>
  <sheetFormatPr baseColWidth="10" defaultColWidth="8.83203125" defaultRowHeight="15" x14ac:dyDescent="0.2"/>
  <cols>
    <col min="1" max="1" width="5" customWidth="1"/>
    <col min="2" max="2" width="13" customWidth="1"/>
    <col min="3" max="3" width="42" customWidth="1"/>
    <col min="4" max="4" width="32" customWidth="1"/>
    <col min="5" max="5" width="42" customWidth="1"/>
    <col min="6" max="6" width="8" customWidth="1"/>
    <col min="7" max="7" width="42" customWidth="1"/>
    <col min="8" max="8" width="8" customWidth="1"/>
    <col min="9" max="9" width="42" customWidth="1"/>
    <col min="10" max="10" width="8" customWidth="1"/>
  </cols>
  <sheetData>
    <row r="1" spans="1:10" ht="28" customHeight="1" x14ac:dyDescent="0.2">
      <c r="A1" s="47" t="s">
        <v>13</v>
      </c>
      <c r="B1" s="47" t="s">
        <v>14</v>
      </c>
      <c r="C1" s="47" t="s">
        <v>15</v>
      </c>
      <c r="D1" s="47" t="s">
        <v>16</v>
      </c>
      <c r="E1" s="47" t="s">
        <v>17</v>
      </c>
      <c r="F1" s="47" t="s">
        <v>18</v>
      </c>
      <c r="G1" s="47" t="s">
        <v>19</v>
      </c>
      <c r="H1" s="47" t="s">
        <v>20</v>
      </c>
      <c r="I1" s="47" t="s">
        <v>21</v>
      </c>
      <c r="J1" s="47" t="s">
        <v>22</v>
      </c>
    </row>
    <row r="2" spans="1:10" ht="72" customHeight="1" x14ac:dyDescent="0.2">
      <c r="A2" s="18">
        <v>17</v>
      </c>
      <c r="B2" s="19" t="s">
        <v>23</v>
      </c>
      <c r="C2" s="48" t="s">
        <v>95</v>
      </c>
      <c r="D2" s="48" t="s">
        <v>96</v>
      </c>
      <c r="E2" s="48" t="s">
        <v>97</v>
      </c>
      <c r="F2" s="6">
        <v>5</v>
      </c>
      <c r="G2" s="48" t="s">
        <v>97</v>
      </c>
      <c r="H2" s="6">
        <v>5</v>
      </c>
      <c r="I2" s="48" t="s">
        <v>97</v>
      </c>
      <c r="J2" s="6">
        <v>5</v>
      </c>
    </row>
    <row r="3" spans="1:10" ht="72" customHeight="1" x14ac:dyDescent="0.2">
      <c r="A3" s="18">
        <v>18</v>
      </c>
      <c r="B3" s="19" t="s">
        <v>23</v>
      </c>
      <c r="C3" s="22" t="s">
        <v>98</v>
      </c>
      <c r="D3" s="22" t="s">
        <v>99</v>
      </c>
      <c r="E3" s="22" t="s">
        <v>100</v>
      </c>
      <c r="F3" s="6">
        <v>5</v>
      </c>
      <c r="G3" s="22" t="s">
        <v>27</v>
      </c>
      <c r="H3" s="21">
        <v>0</v>
      </c>
      <c r="I3" s="22" t="s">
        <v>101</v>
      </c>
      <c r="J3" s="6">
        <v>5</v>
      </c>
    </row>
    <row r="4" spans="1:10" ht="72" customHeight="1" x14ac:dyDescent="0.2">
      <c r="A4" s="18">
        <v>19</v>
      </c>
      <c r="B4" s="19" t="s">
        <v>23</v>
      </c>
      <c r="C4" s="48" t="s">
        <v>102</v>
      </c>
      <c r="D4" s="48" t="s">
        <v>103</v>
      </c>
      <c r="E4" s="48" t="s">
        <v>104</v>
      </c>
      <c r="F4" s="6">
        <v>5</v>
      </c>
      <c r="G4" s="48" t="s">
        <v>27</v>
      </c>
      <c r="H4" s="21">
        <v>0</v>
      </c>
      <c r="I4" s="48" t="s">
        <v>104</v>
      </c>
      <c r="J4" s="6">
        <v>5</v>
      </c>
    </row>
    <row r="5" spans="1:10" ht="72" customHeight="1" x14ac:dyDescent="0.2">
      <c r="A5" s="24">
        <v>20</v>
      </c>
      <c r="B5" s="25" t="s">
        <v>23</v>
      </c>
      <c r="C5" s="26" t="s">
        <v>105</v>
      </c>
      <c r="D5" s="26" t="s">
        <v>106</v>
      </c>
      <c r="E5" s="26" t="s">
        <v>107</v>
      </c>
      <c r="F5" s="27">
        <v>5</v>
      </c>
      <c r="G5" s="26" t="s">
        <v>27</v>
      </c>
      <c r="H5" s="33">
        <v>0</v>
      </c>
      <c r="I5" s="26" t="s">
        <v>108</v>
      </c>
      <c r="J5" s="27">
        <v>5</v>
      </c>
    </row>
    <row r="6" spans="1:10" ht="72" customHeight="1" x14ac:dyDescent="0.2">
      <c r="A6" s="28">
        <v>21</v>
      </c>
      <c r="B6" s="29" t="s">
        <v>42</v>
      </c>
      <c r="C6" s="48" t="s">
        <v>109</v>
      </c>
      <c r="D6" s="48" t="s">
        <v>110</v>
      </c>
      <c r="E6" s="48" t="s">
        <v>111</v>
      </c>
      <c r="F6" s="23">
        <v>5</v>
      </c>
      <c r="G6" s="48" t="s">
        <v>27</v>
      </c>
      <c r="H6" s="21">
        <v>0</v>
      </c>
      <c r="I6" s="48" t="s">
        <v>112</v>
      </c>
      <c r="J6" s="23">
        <v>4</v>
      </c>
    </row>
    <row r="7" spans="1:10" ht="72" customHeight="1" x14ac:dyDescent="0.2">
      <c r="A7" s="28">
        <v>22</v>
      </c>
      <c r="B7" s="29" t="s">
        <v>42</v>
      </c>
      <c r="C7" s="22" t="s">
        <v>113</v>
      </c>
      <c r="D7" s="22" t="s">
        <v>114</v>
      </c>
      <c r="E7" s="22" t="s">
        <v>115</v>
      </c>
      <c r="F7" s="21">
        <v>0</v>
      </c>
      <c r="G7" s="22" t="s">
        <v>116</v>
      </c>
      <c r="H7" s="16">
        <v>2</v>
      </c>
      <c r="I7" s="22" t="s">
        <v>117</v>
      </c>
      <c r="J7" s="16">
        <v>1</v>
      </c>
    </row>
    <row r="8" spans="1:10" ht="72" customHeight="1" x14ac:dyDescent="0.2">
      <c r="A8" s="28">
        <v>23</v>
      </c>
      <c r="B8" s="29" t="s">
        <v>42</v>
      </c>
      <c r="C8" s="48" t="s">
        <v>118</v>
      </c>
      <c r="D8" s="48" t="s">
        <v>119</v>
      </c>
      <c r="E8" s="48" t="s">
        <v>27</v>
      </c>
      <c r="F8" s="21">
        <v>5</v>
      </c>
      <c r="G8" s="48" t="s">
        <v>27</v>
      </c>
      <c r="H8" s="21">
        <v>5</v>
      </c>
      <c r="I8" s="48" t="s">
        <v>120</v>
      </c>
      <c r="J8" s="21">
        <v>5</v>
      </c>
    </row>
    <row r="9" spans="1:10" ht="72" customHeight="1" x14ac:dyDescent="0.2">
      <c r="A9" s="31">
        <v>24</v>
      </c>
      <c r="B9" s="32" t="s">
        <v>42</v>
      </c>
      <c r="C9" s="26" t="s">
        <v>121</v>
      </c>
      <c r="D9" s="26" t="s">
        <v>122</v>
      </c>
      <c r="E9" s="26" t="s">
        <v>123</v>
      </c>
      <c r="F9" s="27">
        <v>5</v>
      </c>
      <c r="G9" s="26" t="s">
        <v>27</v>
      </c>
      <c r="H9" s="33">
        <v>0</v>
      </c>
      <c r="I9" s="26" t="s">
        <v>124</v>
      </c>
      <c r="J9" s="33">
        <v>0</v>
      </c>
    </row>
    <row r="10" spans="1:10" ht="72" customHeight="1" x14ac:dyDescent="0.2">
      <c r="A10" s="34">
        <v>25</v>
      </c>
      <c r="B10" s="35" t="s">
        <v>58</v>
      </c>
      <c r="C10" s="48" t="s">
        <v>125</v>
      </c>
      <c r="D10" s="48" t="s">
        <v>126</v>
      </c>
      <c r="E10" s="48" t="s">
        <v>127</v>
      </c>
      <c r="F10" s="30">
        <v>4</v>
      </c>
      <c r="G10" s="48" t="s">
        <v>27</v>
      </c>
      <c r="H10" s="21">
        <v>0</v>
      </c>
      <c r="I10" s="48" t="s">
        <v>128</v>
      </c>
      <c r="J10" s="40">
        <v>2</v>
      </c>
    </row>
    <row r="11" spans="1:10" ht="72" customHeight="1" x14ac:dyDescent="0.2">
      <c r="A11" s="34">
        <v>26</v>
      </c>
      <c r="B11" s="35" t="s">
        <v>58</v>
      </c>
      <c r="C11" s="22" t="s">
        <v>129</v>
      </c>
      <c r="D11" s="22" t="s">
        <v>130</v>
      </c>
      <c r="E11" s="22" t="s">
        <v>131</v>
      </c>
      <c r="F11" s="6">
        <v>5</v>
      </c>
      <c r="G11" s="22" t="s">
        <v>27</v>
      </c>
      <c r="H11" s="21">
        <v>0</v>
      </c>
      <c r="I11" s="22" t="s">
        <v>132</v>
      </c>
      <c r="J11" s="6">
        <v>4</v>
      </c>
    </row>
    <row r="12" spans="1:10" ht="72" customHeight="1" x14ac:dyDescent="0.2">
      <c r="A12" s="34">
        <v>27</v>
      </c>
      <c r="B12" s="35" t="s">
        <v>58</v>
      </c>
      <c r="C12" s="48" t="s">
        <v>133</v>
      </c>
      <c r="D12" s="48" t="s">
        <v>134</v>
      </c>
      <c r="E12" s="48" t="s">
        <v>135</v>
      </c>
      <c r="F12" s="6">
        <v>5</v>
      </c>
      <c r="G12" s="48" t="s">
        <v>136</v>
      </c>
      <c r="H12" s="6">
        <v>4</v>
      </c>
      <c r="I12" s="48" t="s">
        <v>137</v>
      </c>
      <c r="J12" s="23">
        <v>4</v>
      </c>
    </row>
    <row r="13" spans="1:10" ht="72" customHeight="1" x14ac:dyDescent="0.2">
      <c r="A13" s="36">
        <v>28</v>
      </c>
      <c r="B13" s="37" t="s">
        <v>58</v>
      </c>
      <c r="C13" s="26" t="s">
        <v>138</v>
      </c>
      <c r="D13" s="26" t="s">
        <v>139</v>
      </c>
      <c r="E13" s="26" t="s">
        <v>27</v>
      </c>
      <c r="F13" s="33">
        <v>0</v>
      </c>
      <c r="G13" s="26" t="s">
        <v>27</v>
      </c>
      <c r="H13" s="33">
        <v>0</v>
      </c>
      <c r="I13" s="26" t="s">
        <v>140</v>
      </c>
      <c r="J13" s="49">
        <v>1</v>
      </c>
    </row>
    <row r="14" spans="1:10" ht="72" customHeight="1" x14ac:dyDescent="0.2">
      <c r="A14" s="38">
        <v>29</v>
      </c>
      <c r="B14" s="39" t="s">
        <v>75</v>
      </c>
      <c r="C14" s="48" t="s">
        <v>141</v>
      </c>
      <c r="D14" s="48" t="s">
        <v>142</v>
      </c>
      <c r="E14" s="48" t="s">
        <v>27</v>
      </c>
      <c r="F14" s="21">
        <v>5</v>
      </c>
      <c r="G14" s="48" t="s">
        <v>27</v>
      </c>
      <c r="H14" s="21">
        <v>5</v>
      </c>
      <c r="I14" s="48" t="s">
        <v>143</v>
      </c>
      <c r="J14" s="21">
        <v>5</v>
      </c>
    </row>
    <row r="15" spans="1:10" ht="72" customHeight="1" x14ac:dyDescent="0.2">
      <c r="A15" s="38">
        <v>30</v>
      </c>
      <c r="B15" s="39" t="s">
        <v>75</v>
      </c>
      <c r="C15" s="22" t="s">
        <v>144</v>
      </c>
      <c r="D15" s="22" t="s">
        <v>145</v>
      </c>
      <c r="E15" s="22" t="s">
        <v>146</v>
      </c>
      <c r="F15" s="15">
        <v>5</v>
      </c>
      <c r="G15" s="22" t="s">
        <v>147</v>
      </c>
      <c r="H15" s="15">
        <v>5</v>
      </c>
      <c r="I15" s="22" t="s">
        <v>148</v>
      </c>
      <c r="J15" s="9">
        <v>4</v>
      </c>
    </row>
    <row r="16" spans="1:10" ht="72" customHeight="1" x14ac:dyDescent="0.2">
      <c r="A16" s="38">
        <v>31</v>
      </c>
      <c r="B16" s="39" t="s">
        <v>75</v>
      </c>
      <c r="C16" s="48" t="s">
        <v>149</v>
      </c>
      <c r="D16" s="48" t="s">
        <v>150</v>
      </c>
      <c r="E16" s="48" t="s">
        <v>151</v>
      </c>
      <c r="F16" s="16">
        <v>5</v>
      </c>
      <c r="G16" s="48" t="s">
        <v>27</v>
      </c>
      <c r="H16" s="21">
        <v>0</v>
      </c>
      <c r="I16" s="48" t="s">
        <v>152</v>
      </c>
      <c r="J16" s="40">
        <v>4</v>
      </c>
    </row>
    <row r="17" spans="1:10" ht="72" customHeight="1" x14ac:dyDescent="0.2">
      <c r="A17" s="41">
        <v>32</v>
      </c>
      <c r="B17" s="42" t="s">
        <v>75</v>
      </c>
      <c r="C17" s="26" t="s">
        <v>153</v>
      </c>
      <c r="D17" s="26" t="s">
        <v>142</v>
      </c>
      <c r="E17" s="26" t="s">
        <v>27</v>
      </c>
      <c r="F17" s="33">
        <v>5</v>
      </c>
      <c r="G17" s="26" t="s">
        <v>27</v>
      </c>
      <c r="H17" s="33">
        <v>5</v>
      </c>
      <c r="I17" s="26" t="s">
        <v>154</v>
      </c>
      <c r="J17" s="33">
        <v>5</v>
      </c>
    </row>
    <row r="18" spans="1:10" ht="22" customHeight="1" x14ac:dyDescent="0.2">
      <c r="A18" s="50" t="s">
        <v>91</v>
      </c>
      <c r="E18" s="51" t="s">
        <v>92</v>
      </c>
      <c r="F18" s="52">
        <f>AVERAGE(F2:F17)</f>
        <v>4.3125</v>
      </c>
      <c r="G18" s="51" t="s">
        <v>93</v>
      </c>
      <c r="H18" s="52">
        <f>AVERAGE(H2:H17)</f>
        <v>1.9375</v>
      </c>
      <c r="I18" s="51" t="s">
        <v>94</v>
      </c>
      <c r="J18" s="52">
        <f>AVERAGE(J2:J17)</f>
        <v>3.6875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699"/>
  </sheetPr>
  <dimension ref="A1:J18"/>
  <sheetViews>
    <sheetView zoomScale="130" zoomScaleNormal="130" workbookViewId="0">
      <pane xSplit="2" ySplit="1" topLeftCell="C11" activePane="bottomRight" state="frozen"/>
      <selection pane="topRight"/>
      <selection pane="bottomLeft"/>
      <selection pane="bottomRight" activeCell="J2" sqref="J2:J17"/>
    </sheetView>
  </sheetViews>
  <sheetFormatPr baseColWidth="10" defaultColWidth="8.83203125" defaultRowHeight="15" x14ac:dyDescent="0.2"/>
  <cols>
    <col min="1" max="1" width="5" customWidth="1"/>
    <col min="2" max="2" width="13" customWidth="1"/>
    <col min="3" max="3" width="42" customWidth="1"/>
    <col min="4" max="4" width="32" customWidth="1"/>
    <col min="5" max="5" width="42" customWidth="1"/>
    <col min="6" max="6" width="8" customWidth="1"/>
    <col min="7" max="7" width="42" customWidth="1"/>
    <col min="8" max="8" width="8" customWidth="1"/>
    <col min="9" max="9" width="42" customWidth="1"/>
    <col min="10" max="10" width="8" customWidth="1"/>
  </cols>
  <sheetData>
    <row r="1" spans="1:10" ht="28" customHeight="1" x14ac:dyDescent="0.2">
      <c r="A1" s="53" t="s">
        <v>13</v>
      </c>
      <c r="B1" s="53" t="s">
        <v>14</v>
      </c>
      <c r="C1" s="53" t="s">
        <v>15</v>
      </c>
      <c r="D1" s="53" t="s">
        <v>16</v>
      </c>
      <c r="E1" s="53" t="s">
        <v>17</v>
      </c>
      <c r="F1" s="53" t="s">
        <v>18</v>
      </c>
      <c r="G1" s="53" t="s">
        <v>19</v>
      </c>
      <c r="H1" s="53" t="s">
        <v>20</v>
      </c>
      <c r="I1" s="53" t="s">
        <v>21</v>
      </c>
      <c r="J1" s="53" t="s">
        <v>22</v>
      </c>
    </row>
    <row r="2" spans="1:10" ht="72" customHeight="1" x14ac:dyDescent="0.2">
      <c r="A2" s="18">
        <v>33</v>
      </c>
      <c r="B2" s="19" t="s">
        <v>23</v>
      </c>
      <c r="C2" s="54" t="s">
        <v>155</v>
      </c>
      <c r="D2" s="54" t="s">
        <v>156</v>
      </c>
      <c r="E2" s="54" t="s">
        <v>157</v>
      </c>
      <c r="F2" s="6">
        <v>5</v>
      </c>
      <c r="G2" s="54" t="s">
        <v>158</v>
      </c>
      <c r="H2" s="6">
        <v>5</v>
      </c>
      <c r="I2" s="54" t="s">
        <v>158</v>
      </c>
      <c r="J2" s="6">
        <v>5</v>
      </c>
    </row>
    <row r="3" spans="1:10" ht="72" customHeight="1" x14ac:dyDescent="0.2">
      <c r="A3" s="18">
        <v>34</v>
      </c>
      <c r="B3" s="19" t="s">
        <v>23</v>
      </c>
      <c r="C3" s="22" t="s">
        <v>159</v>
      </c>
      <c r="D3" s="22" t="s">
        <v>160</v>
      </c>
      <c r="E3" s="22" t="s">
        <v>161</v>
      </c>
      <c r="F3" s="21">
        <v>0</v>
      </c>
      <c r="G3" s="22" t="s">
        <v>27</v>
      </c>
      <c r="H3" s="21">
        <v>0</v>
      </c>
      <c r="I3" s="22" t="s">
        <v>162</v>
      </c>
      <c r="J3" s="21">
        <v>0</v>
      </c>
    </row>
    <row r="4" spans="1:10" ht="72" customHeight="1" x14ac:dyDescent="0.2">
      <c r="A4" s="18">
        <v>35</v>
      </c>
      <c r="B4" s="19" t="s">
        <v>23</v>
      </c>
      <c r="C4" s="54" t="s">
        <v>163</v>
      </c>
      <c r="D4" s="54" t="s">
        <v>164</v>
      </c>
      <c r="E4" s="54" t="s">
        <v>165</v>
      </c>
      <c r="F4" s="6">
        <v>5</v>
      </c>
      <c r="G4" s="54" t="s">
        <v>166</v>
      </c>
      <c r="H4" s="30">
        <v>2</v>
      </c>
      <c r="I4" s="54" t="s">
        <v>167</v>
      </c>
      <c r="J4" s="6">
        <v>5</v>
      </c>
    </row>
    <row r="5" spans="1:10" ht="72" customHeight="1" x14ac:dyDescent="0.2">
      <c r="A5" s="24">
        <v>36</v>
      </c>
      <c r="B5" s="25" t="s">
        <v>23</v>
      </c>
      <c r="C5" s="26" t="s">
        <v>168</v>
      </c>
      <c r="D5" s="26" t="s">
        <v>169</v>
      </c>
      <c r="E5" s="26" t="s">
        <v>170</v>
      </c>
      <c r="F5" s="33">
        <v>1</v>
      </c>
      <c r="G5" s="26" t="s">
        <v>171</v>
      </c>
      <c r="H5" s="55">
        <v>5</v>
      </c>
      <c r="I5" s="26" t="s">
        <v>172</v>
      </c>
      <c r="J5" s="33">
        <v>0</v>
      </c>
    </row>
    <row r="6" spans="1:10" ht="72" customHeight="1" x14ac:dyDescent="0.2">
      <c r="A6" s="28">
        <v>37</v>
      </c>
      <c r="B6" s="29" t="s">
        <v>42</v>
      </c>
      <c r="C6" s="54" t="s">
        <v>173</v>
      </c>
      <c r="D6" s="54" t="s">
        <v>174</v>
      </c>
      <c r="E6" s="54" t="s">
        <v>175</v>
      </c>
      <c r="F6" s="40">
        <v>4</v>
      </c>
      <c r="G6" s="54" t="s">
        <v>27</v>
      </c>
      <c r="H6" s="21">
        <v>0</v>
      </c>
      <c r="I6" s="54" t="s">
        <v>176</v>
      </c>
      <c r="J6" s="6">
        <v>3</v>
      </c>
    </row>
    <row r="7" spans="1:10" ht="72" customHeight="1" x14ac:dyDescent="0.2">
      <c r="A7" s="28">
        <v>38</v>
      </c>
      <c r="B7" s="29" t="s">
        <v>42</v>
      </c>
      <c r="C7" s="22" t="s">
        <v>177</v>
      </c>
      <c r="D7" s="22" t="s">
        <v>178</v>
      </c>
      <c r="E7" s="22" t="s">
        <v>161</v>
      </c>
      <c r="F7" s="21">
        <v>0</v>
      </c>
      <c r="G7" s="22" t="s">
        <v>27</v>
      </c>
      <c r="H7" s="21">
        <v>0</v>
      </c>
      <c r="I7" s="22" t="s">
        <v>179</v>
      </c>
      <c r="J7" s="21">
        <v>0</v>
      </c>
    </row>
    <row r="8" spans="1:10" ht="72" customHeight="1" x14ac:dyDescent="0.2">
      <c r="A8" s="28">
        <v>39</v>
      </c>
      <c r="B8" s="29" t="s">
        <v>42</v>
      </c>
      <c r="C8" s="54" t="s">
        <v>180</v>
      </c>
      <c r="D8" s="54" t="s">
        <v>181</v>
      </c>
      <c r="E8" s="54" t="s">
        <v>182</v>
      </c>
      <c r="F8" s="30">
        <v>5</v>
      </c>
      <c r="G8" s="54" t="s">
        <v>27</v>
      </c>
      <c r="H8" s="21">
        <v>0</v>
      </c>
      <c r="I8" s="54" t="s">
        <v>183</v>
      </c>
      <c r="J8" s="23">
        <v>4</v>
      </c>
    </row>
    <row r="9" spans="1:10" ht="72" customHeight="1" x14ac:dyDescent="0.2">
      <c r="A9" s="31">
        <v>40</v>
      </c>
      <c r="B9" s="32" t="s">
        <v>42</v>
      </c>
      <c r="C9" s="26" t="s">
        <v>184</v>
      </c>
      <c r="D9" s="26" t="s">
        <v>185</v>
      </c>
      <c r="E9" s="26" t="s">
        <v>161</v>
      </c>
      <c r="F9" s="33">
        <v>0</v>
      </c>
      <c r="G9" s="26" t="s">
        <v>27</v>
      </c>
      <c r="H9" s="33">
        <v>0</v>
      </c>
      <c r="I9" s="26" t="s">
        <v>186</v>
      </c>
      <c r="J9" s="33">
        <v>0</v>
      </c>
    </row>
    <row r="10" spans="1:10" ht="72" customHeight="1" x14ac:dyDescent="0.2">
      <c r="A10" s="34">
        <v>41</v>
      </c>
      <c r="B10" s="35" t="s">
        <v>58</v>
      </c>
      <c r="C10" s="54" t="s">
        <v>187</v>
      </c>
      <c r="D10" s="54" t="s">
        <v>188</v>
      </c>
      <c r="E10" s="54" t="s">
        <v>189</v>
      </c>
      <c r="F10" s="6">
        <v>5</v>
      </c>
      <c r="G10" s="54" t="s">
        <v>27</v>
      </c>
      <c r="H10" s="21">
        <v>0</v>
      </c>
      <c r="I10" s="54" t="s">
        <v>190</v>
      </c>
      <c r="J10" s="23">
        <v>4</v>
      </c>
    </row>
    <row r="11" spans="1:10" ht="72" customHeight="1" x14ac:dyDescent="0.2">
      <c r="A11" s="34">
        <v>42</v>
      </c>
      <c r="B11" s="35" t="s">
        <v>58</v>
      </c>
      <c r="C11" s="22" t="s">
        <v>191</v>
      </c>
      <c r="D11" s="22" t="s">
        <v>192</v>
      </c>
      <c r="E11" s="22" t="s">
        <v>193</v>
      </c>
      <c r="F11" s="6">
        <v>5</v>
      </c>
      <c r="G11" s="22" t="s">
        <v>27</v>
      </c>
      <c r="H11" s="21">
        <v>0</v>
      </c>
      <c r="I11" s="22" t="s">
        <v>194</v>
      </c>
      <c r="J11" s="21">
        <v>0</v>
      </c>
    </row>
    <row r="12" spans="1:10" ht="72" customHeight="1" x14ac:dyDescent="0.2">
      <c r="A12" s="34">
        <v>43</v>
      </c>
      <c r="B12" s="35" t="s">
        <v>58</v>
      </c>
      <c r="C12" s="54" t="s">
        <v>195</v>
      </c>
      <c r="D12" s="54" t="s">
        <v>196</v>
      </c>
      <c r="E12" s="54" t="s">
        <v>197</v>
      </c>
      <c r="F12" s="40">
        <v>4</v>
      </c>
      <c r="G12" s="54" t="s">
        <v>27</v>
      </c>
      <c r="H12" s="21">
        <v>0</v>
      </c>
      <c r="I12" s="54" t="s">
        <v>198</v>
      </c>
      <c r="J12" s="23">
        <v>4</v>
      </c>
    </row>
    <row r="13" spans="1:10" ht="72" customHeight="1" x14ac:dyDescent="0.2">
      <c r="A13" s="36">
        <v>44</v>
      </c>
      <c r="B13" s="37" t="s">
        <v>58</v>
      </c>
      <c r="C13" s="26" t="s">
        <v>199</v>
      </c>
      <c r="D13" s="26" t="s">
        <v>200</v>
      </c>
      <c r="E13" s="26" t="s">
        <v>201</v>
      </c>
      <c r="F13" s="27">
        <v>5</v>
      </c>
      <c r="G13" s="26" t="s">
        <v>27</v>
      </c>
      <c r="H13" s="33">
        <v>0</v>
      </c>
      <c r="I13" s="26" t="s">
        <v>202</v>
      </c>
      <c r="J13" s="27">
        <v>5</v>
      </c>
    </row>
    <row r="14" spans="1:10" ht="72" customHeight="1" x14ac:dyDescent="0.2">
      <c r="A14" s="38">
        <v>45</v>
      </c>
      <c r="B14" s="39" t="s">
        <v>75</v>
      </c>
      <c r="C14" s="54" t="s">
        <v>203</v>
      </c>
      <c r="D14" s="54" t="s">
        <v>204</v>
      </c>
      <c r="E14" s="54" t="s">
        <v>205</v>
      </c>
      <c r="F14" s="15">
        <v>4</v>
      </c>
      <c r="G14" s="54" t="s">
        <v>27</v>
      </c>
      <c r="H14" s="21">
        <v>0</v>
      </c>
      <c r="I14" s="54" t="s">
        <v>206</v>
      </c>
      <c r="J14" s="23">
        <v>4</v>
      </c>
    </row>
    <row r="15" spans="1:10" ht="72" customHeight="1" x14ac:dyDescent="0.2">
      <c r="A15" s="38">
        <v>46</v>
      </c>
      <c r="B15" s="39" t="s">
        <v>75</v>
      </c>
      <c r="C15" s="22" t="s">
        <v>207</v>
      </c>
      <c r="D15" s="22" t="s">
        <v>208</v>
      </c>
      <c r="E15" s="22" t="s">
        <v>161</v>
      </c>
      <c r="F15" s="21">
        <v>0</v>
      </c>
      <c r="G15" s="22" t="s">
        <v>27</v>
      </c>
      <c r="H15" s="21">
        <v>0</v>
      </c>
      <c r="I15" s="22" t="s">
        <v>209</v>
      </c>
      <c r="J15" s="21">
        <v>0</v>
      </c>
    </row>
    <row r="16" spans="1:10" ht="72" customHeight="1" x14ac:dyDescent="0.2">
      <c r="A16" s="38">
        <v>47</v>
      </c>
      <c r="B16" s="39" t="s">
        <v>75</v>
      </c>
      <c r="C16" s="54" t="s">
        <v>210</v>
      </c>
      <c r="D16" s="54" t="s">
        <v>211</v>
      </c>
      <c r="E16" s="54" t="s">
        <v>212</v>
      </c>
      <c r="F16" s="6">
        <v>5</v>
      </c>
      <c r="G16" s="54" t="s">
        <v>27</v>
      </c>
      <c r="H16" s="21">
        <v>0</v>
      </c>
      <c r="I16" s="54" t="s">
        <v>213</v>
      </c>
      <c r="J16" s="40">
        <v>4</v>
      </c>
    </row>
    <row r="17" spans="1:10" ht="72" customHeight="1" x14ac:dyDescent="0.2">
      <c r="A17" s="41">
        <v>48</v>
      </c>
      <c r="B17" s="42" t="s">
        <v>75</v>
      </c>
      <c r="C17" s="26" t="s">
        <v>214</v>
      </c>
      <c r="D17" s="26" t="s">
        <v>215</v>
      </c>
      <c r="E17" s="26" t="s">
        <v>216</v>
      </c>
      <c r="F17" s="27">
        <v>5</v>
      </c>
      <c r="G17" s="26" t="s">
        <v>27</v>
      </c>
      <c r="H17" s="33">
        <v>0</v>
      </c>
      <c r="I17" s="26" t="s">
        <v>217</v>
      </c>
      <c r="J17" s="27">
        <v>5</v>
      </c>
    </row>
    <row r="18" spans="1:10" ht="22" customHeight="1" x14ac:dyDescent="0.2">
      <c r="A18" s="56" t="s">
        <v>91</v>
      </c>
      <c r="E18" s="57" t="s">
        <v>92</v>
      </c>
      <c r="F18" s="58">
        <f>AVERAGE(F2:F17)</f>
        <v>3.3125</v>
      </c>
      <c r="G18" s="57" t="s">
        <v>93</v>
      </c>
      <c r="H18" s="58">
        <f>AVERAGE(H2:H17)</f>
        <v>0.75</v>
      </c>
      <c r="I18" s="57" t="s">
        <v>94</v>
      </c>
      <c r="J18" s="58">
        <f>AVERAGE(J2:J17)</f>
        <v>2.6875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A4EF"/>
  </sheetPr>
  <dimension ref="A1:J18"/>
  <sheetViews>
    <sheetView zoomScale="130" zoomScaleNormal="130" workbookViewId="0">
      <pane xSplit="2" ySplit="1" topLeftCell="C14" activePane="bottomRight" state="frozen"/>
      <selection pane="topRight"/>
      <selection pane="bottomLeft"/>
      <selection pane="bottomRight" activeCell="J17" sqref="J2:J17"/>
    </sheetView>
  </sheetViews>
  <sheetFormatPr baseColWidth="10" defaultColWidth="8.83203125" defaultRowHeight="15" x14ac:dyDescent="0.2"/>
  <cols>
    <col min="1" max="1" width="5" customWidth="1"/>
    <col min="2" max="2" width="13" customWidth="1"/>
    <col min="3" max="3" width="42" customWidth="1"/>
    <col min="4" max="4" width="32" customWidth="1"/>
    <col min="5" max="5" width="42" customWidth="1"/>
    <col min="6" max="6" width="8" customWidth="1"/>
    <col min="7" max="7" width="42" customWidth="1"/>
    <col min="8" max="8" width="8" customWidth="1"/>
    <col min="9" max="9" width="42" customWidth="1"/>
    <col min="10" max="10" width="8" customWidth="1"/>
  </cols>
  <sheetData>
    <row r="1" spans="1:10" ht="28" customHeight="1" x14ac:dyDescent="0.2">
      <c r="A1" s="59" t="s">
        <v>13</v>
      </c>
      <c r="B1" s="59" t="s">
        <v>14</v>
      </c>
      <c r="C1" s="59" t="s">
        <v>15</v>
      </c>
      <c r="D1" s="59" t="s">
        <v>16</v>
      </c>
      <c r="E1" s="59" t="s">
        <v>17</v>
      </c>
      <c r="F1" s="59" t="s">
        <v>18</v>
      </c>
      <c r="G1" s="59" t="s">
        <v>19</v>
      </c>
      <c r="H1" s="59" t="s">
        <v>20</v>
      </c>
      <c r="I1" s="59" t="s">
        <v>21</v>
      </c>
      <c r="J1" s="59" t="s">
        <v>22</v>
      </c>
    </row>
    <row r="2" spans="1:10" ht="72" customHeight="1" x14ac:dyDescent="0.2">
      <c r="A2" s="18">
        <v>49</v>
      </c>
      <c r="B2" s="19" t="s">
        <v>23</v>
      </c>
      <c r="C2" s="60" t="s">
        <v>218</v>
      </c>
      <c r="D2" s="60" t="s">
        <v>219</v>
      </c>
      <c r="E2" s="60" t="s">
        <v>220</v>
      </c>
      <c r="F2" s="6">
        <v>5</v>
      </c>
      <c r="G2" s="60" t="s">
        <v>221</v>
      </c>
      <c r="H2" s="6">
        <v>5</v>
      </c>
      <c r="I2" s="60" t="s">
        <v>222</v>
      </c>
      <c r="J2" s="6">
        <v>5</v>
      </c>
    </row>
    <row r="3" spans="1:10" ht="72" customHeight="1" x14ac:dyDescent="0.2">
      <c r="A3" s="18">
        <v>50</v>
      </c>
      <c r="B3" s="19" t="s">
        <v>23</v>
      </c>
      <c r="C3" s="22" t="s">
        <v>223</v>
      </c>
      <c r="D3" s="22" t="s">
        <v>224</v>
      </c>
      <c r="E3" s="22" t="s">
        <v>225</v>
      </c>
      <c r="F3" s="6">
        <v>5</v>
      </c>
      <c r="G3" s="22" t="s">
        <v>27</v>
      </c>
      <c r="H3" s="21">
        <v>0</v>
      </c>
      <c r="I3" s="22" t="s">
        <v>226</v>
      </c>
      <c r="J3" s="30">
        <v>2</v>
      </c>
    </row>
    <row r="4" spans="1:10" ht="72" customHeight="1" x14ac:dyDescent="0.2">
      <c r="A4" s="18">
        <v>51</v>
      </c>
      <c r="B4" s="19" t="s">
        <v>23</v>
      </c>
      <c r="C4" s="60" t="s">
        <v>227</v>
      </c>
      <c r="D4" s="60" t="s">
        <v>228</v>
      </c>
      <c r="E4" s="60" t="s">
        <v>229</v>
      </c>
      <c r="F4" s="6">
        <v>5</v>
      </c>
      <c r="G4" s="60" t="s">
        <v>230</v>
      </c>
      <c r="H4" s="6">
        <v>5</v>
      </c>
      <c r="I4" s="60" t="s">
        <v>231</v>
      </c>
      <c r="J4" s="6">
        <v>5</v>
      </c>
    </row>
    <row r="5" spans="1:10" ht="72" customHeight="1" x14ac:dyDescent="0.2">
      <c r="A5" s="24">
        <v>52</v>
      </c>
      <c r="B5" s="25" t="s">
        <v>23</v>
      </c>
      <c r="C5" s="26" t="s">
        <v>232</v>
      </c>
      <c r="D5" s="26" t="s">
        <v>233</v>
      </c>
      <c r="E5" s="26" t="s">
        <v>234</v>
      </c>
      <c r="F5" s="27">
        <v>5</v>
      </c>
      <c r="G5" s="26" t="s">
        <v>235</v>
      </c>
      <c r="H5" s="27">
        <v>5</v>
      </c>
      <c r="I5" s="26" t="s">
        <v>235</v>
      </c>
      <c r="J5" s="27">
        <v>5</v>
      </c>
    </row>
    <row r="6" spans="1:10" ht="72" customHeight="1" x14ac:dyDescent="0.2">
      <c r="A6" s="28">
        <v>53</v>
      </c>
      <c r="B6" s="29" t="s">
        <v>42</v>
      </c>
      <c r="C6" s="60" t="s">
        <v>236</v>
      </c>
      <c r="D6" s="60" t="s">
        <v>237</v>
      </c>
      <c r="E6" s="60" t="s">
        <v>161</v>
      </c>
      <c r="F6" s="21">
        <v>0</v>
      </c>
      <c r="G6" s="60" t="s">
        <v>27</v>
      </c>
      <c r="H6" s="21">
        <v>0</v>
      </c>
      <c r="I6" s="60" t="s">
        <v>238</v>
      </c>
      <c r="J6" s="21">
        <v>0</v>
      </c>
    </row>
    <row r="7" spans="1:10" ht="72" customHeight="1" x14ac:dyDescent="0.2">
      <c r="A7" s="28">
        <v>54</v>
      </c>
      <c r="B7" s="29" t="s">
        <v>42</v>
      </c>
      <c r="C7" s="22" t="s">
        <v>239</v>
      </c>
      <c r="D7" s="22" t="s">
        <v>240</v>
      </c>
      <c r="E7" s="22" t="s">
        <v>161</v>
      </c>
      <c r="F7" s="21">
        <v>0</v>
      </c>
      <c r="G7" s="22" t="s">
        <v>27</v>
      </c>
      <c r="H7" s="21">
        <v>0</v>
      </c>
      <c r="I7" s="22" t="s">
        <v>241</v>
      </c>
      <c r="J7" s="21">
        <v>0</v>
      </c>
    </row>
    <row r="8" spans="1:10" ht="72" customHeight="1" x14ac:dyDescent="0.2">
      <c r="A8" s="28">
        <v>55</v>
      </c>
      <c r="B8" s="29" t="s">
        <v>42</v>
      </c>
      <c r="C8" s="60" t="s">
        <v>242</v>
      </c>
      <c r="D8" s="60" t="s">
        <v>243</v>
      </c>
      <c r="E8" s="60" t="s">
        <v>161</v>
      </c>
      <c r="F8" s="21">
        <v>0</v>
      </c>
      <c r="G8" s="60" t="s">
        <v>27</v>
      </c>
      <c r="H8" s="21">
        <v>0</v>
      </c>
      <c r="I8" s="60" t="s">
        <v>244</v>
      </c>
      <c r="J8" s="30">
        <v>2</v>
      </c>
    </row>
    <row r="9" spans="1:10" ht="72" customHeight="1" x14ac:dyDescent="0.2">
      <c r="A9" s="31">
        <v>56</v>
      </c>
      <c r="B9" s="32" t="s">
        <v>42</v>
      </c>
      <c r="C9" s="26" t="s">
        <v>245</v>
      </c>
      <c r="D9" s="26" t="s">
        <v>246</v>
      </c>
      <c r="E9" s="26" t="s">
        <v>247</v>
      </c>
      <c r="F9" s="33">
        <v>0</v>
      </c>
      <c r="G9" s="26" t="s">
        <v>27</v>
      </c>
      <c r="H9" s="33">
        <v>0</v>
      </c>
      <c r="I9" s="26" t="s">
        <v>248</v>
      </c>
      <c r="J9" s="33">
        <v>0</v>
      </c>
    </row>
    <row r="10" spans="1:10" ht="72" customHeight="1" x14ac:dyDescent="0.2">
      <c r="A10" s="34">
        <v>57</v>
      </c>
      <c r="B10" s="35" t="s">
        <v>58</v>
      </c>
      <c r="C10" s="60" t="s">
        <v>249</v>
      </c>
      <c r="D10" s="60" t="s">
        <v>250</v>
      </c>
      <c r="E10" s="60" t="s">
        <v>251</v>
      </c>
      <c r="F10" s="15">
        <v>3</v>
      </c>
      <c r="G10" s="60" t="s">
        <v>27</v>
      </c>
      <c r="H10" s="21">
        <v>0</v>
      </c>
      <c r="I10" s="60" t="s">
        <v>252</v>
      </c>
      <c r="J10" s="9">
        <v>3</v>
      </c>
    </row>
    <row r="11" spans="1:10" ht="72" customHeight="1" x14ac:dyDescent="0.2">
      <c r="A11" s="34">
        <v>58</v>
      </c>
      <c r="B11" s="35" t="s">
        <v>58</v>
      </c>
      <c r="C11" s="22" t="s">
        <v>253</v>
      </c>
      <c r="D11" s="22" t="s">
        <v>254</v>
      </c>
      <c r="E11" s="22" t="s">
        <v>255</v>
      </c>
      <c r="F11" s="6">
        <v>5</v>
      </c>
      <c r="G11" s="22" t="s">
        <v>256</v>
      </c>
      <c r="H11" s="6">
        <v>5</v>
      </c>
      <c r="I11" s="22" t="s">
        <v>27</v>
      </c>
      <c r="J11" s="21">
        <v>0</v>
      </c>
    </row>
    <row r="12" spans="1:10" ht="72" customHeight="1" x14ac:dyDescent="0.2">
      <c r="A12" s="34">
        <v>59</v>
      </c>
      <c r="B12" s="35" t="s">
        <v>58</v>
      </c>
      <c r="C12" s="60" t="s">
        <v>257</v>
      </c>
      <c r="D12" s="60" t="s">
        <v>258</v>
      </c>
      <c r="E12" s="60" t="s">
        <v>259</v>
      </c>
      <c r="F12" s="6">
        <v>5</v>
      </c>
      <c r="G12" s="60" t="s">
        <v>260</v>
      </c>
      <c r="H12" s="6">
        <v>5</v>
      </c>
      <c r="I12" s="60" t="s">
        <v>261</v>
      </c>
      <c r="J12" s="6">
        <v>5</v>
      </c>
    </row>
    <row r="13" spans="1:10" ht="72" customHeight="1" x14ac:dyDescent="0.2">
      <c r="A13" s="36">
        <v>60</v>
      </c>
      <c r="B13" s="37" t="s">
        <v>58</v>
      </c>
      <c r="C13" s="26" t="s">
        <v>262</v>
      </c>
      <c r="D13" s="26" t="s">
        <v>263</v>
      </c>
      <c r="E13" s="26" t="s">
        <v>161</v>
      </c>
      <c r="F13" s="33">
        <v>0</v>
      </c>
      <c r="G13" s="26" t="s">
        <v>27</v>
      </c>
      <c r="H13" s="33">
        <v>0</v>
      </c>
      <c r="I13" s="26" t="s">
        <v>264</v>
      </c>
      <c r="J13" s="33">
        <v>0</v>
      </c>
    </row>
    <row r="14" spans="1:10" ht="72" customHeight="1" x14ac:dyDescent="0.2">
      <c r="A14" s="38">
        <v>61</v>
      </c>
      <c r="B14" s="39" t="s">
        <v>75</v>
      </c>
      <c r="C14" s="60" t="s">
        <v>265</v>
      </c>
      <c r="D14" s="60" t="s">
        <v>266</v>
      </c>
      <c r="E14" s="60" t="s">
        <v>267</v>
      </c>
      <c r="F14" s="40">
        <v>4</v>
      </c>
      <c r="G14" s="60" t="s">
        <v>27</v>
      </c>
      <c r="H14" s="21">
        <v>0</v>
      </c>
      <c r="I14" s="60" t="s">
        <v>268</v>
      </c>
      <c r="J14" s="40">
        <v>4</v>
      </c>
    </row>
    <row r="15" spans="1:10" ht="72" customHeight="1" x14ac:dyDescent="0.2">
      <c r="A15" s="38">
        <v>62</v>
      </c>
      <c r="B15" s="39" t="s">
        <v>75</v>
      </c>
      <c r="C15" s="22" t="s">
        <v>269</v>
      </c>
      <c r="D15" s="22" t="s">
        <v>270</v>
      </c>
      <c r="E15" s="22" t="s">
        <v>161</v>
      </c>
      <c r="F15" s="21">
        <v>0</v>
      </c>
      <c r="G15" s="22" t="s">
        <v>27</v>
      </c>
      <c r="H15" s="21">
        <v>0</v>
      </c>
      <c r="I15" s="22" t="s">
        <v>271</v>
      </c>
      <c r="J15" s="30">
        <v>2</v>
      </c>
    </row>
    <row r="16" spans="1:10" ht="72" customHeight="1" x14ac:dyDescent="0.2">
      <c r="A16" s="38">
        <v>63</v>
      </c>
      <c r="B16" s="39" t="s">
        <v>75</v>
      </c>
      <c r="C16" s="60" t="s">
        <v>83</v>
      </c>
      <c r="D16" s="60" t="s">
        <v>272</v>
      </c>
      <c r="E16" s="60" t="s">
        <v>273</v>
      </c>
      <c r="F16" s="6">
        <v>5</v>
      </c>
      <c r="G16" s="60" t="s">
        <v>27</v>
      </c>
      <c r="H16" s="21">
        <v>0</v>
      </c>
      <c r="I16" s="60" t="s">
        <v>274</v>
      </c>
      <c r="J16" s="21">
        <v>0</v>
      </c>
    </row>
    <row r="17" spans="1:10" ht="72" customHeight="1" x14ac:dyDescent="0.2">
      <c r="A17" s="41">
        <v>64</v>
      </c>
      <c r="B17" s="42" t="s">
        <v>75</v>
      </c>
      <c r="C17" s="26" t="s">
        <v>275</v>
      </c>
      <c r="D17" s="26" t="s">
        <v>276</v>
      </c>
      <c r="E17" s="26" t="s">
        <v>277</v>
      </c>
      <c r="F17" s="27">
        <v>5</v>
      </c>
      <c r="G17" s="26" t="s">
        <v>27</v>
      </c>
      <c r="H17" s="33">
        <v>0</v>
      </c>
      <c r="I17" s="26" t="s">
        <v>278</v>
      </c>
      <c r="J17" s="43">
        <v>4</v>
      </c>
    </row>
    <row r="18" spans="1:10" ht="22" customHeight="1" x14ac:dyDescent="0.2">
      <c r="A18" s="61" t="s">
        <v>91</v>
      </c>
      <c r="E18" s="62" t="s">
        <v>92</v>
      </c>
      <c r="F18" s="63">
        <f>AVERAGE(F2:F17)</f>
        <v>2.9375</v>
      </c>
      <c r="G18" s="62" t="s">
        <v>93</v>
      </c>
      <c r="H18" s="63">
        <f>AVERAGE(H2:H17)</f>
        <v>1.5625</v>
      </c>
      <c r="I18" s="62" t="s">
        <v>94</v>
      </c>
      <c r="J18" s="63">
        <f>AVERAGE(J2:J17)</f>
        <v>2.3125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55555"/>
  </sheetPr>
  <dimension ref="A1:J18"/>
  <sheetViews>
    <sheetView zoomScale="130" zoomScaleNormal="130" workbookViewId="0">
      <pane xSplit="2" ySplit="1" topLeftCell="C13" activePane="bottomRight" state="frozen"/>
      <selection pane="topRight"/>
      <selection pane="bottomLeft"/>
      <selection pane="bottomRight" activeCell="J2" sqref="J2:J17"/>
    </sheetView>
  </sheetViews>
  <sheetFormatPr baseColWidth="10" defaultColWidth="8.83203125" defaultRowHeight="15" x14ac:dyDescent="0.2"/>
  <cols>
    <col min="1" max="1" width="5" customWidth="1"/>
    <col min="2" max="2" width="13" customWidth="1"/>
    <col min="3" max="3" width="42" customWidth="1"/>
    <col min="4" max="4" width="32" customWidth="1"/>
    <col min="5" max="5" width="42" customWidth="1"/>
    <col min="6" max="6" width="8" customWidth="1"/>
    <col min="7" max="7" width="42" customWidth="1"/>
    <col min="8" max="8" width="8" customWidth="1"/>
    <col min="9" max="9" width="42" customWidth="1"/>
    <col min="10" max="10" width="8" customWidth="1"/>
  </cols>
  <sheetData>
    <row r="1" spans="1:10" ht="28" customHeight="1" x14ac:dyDescent="0.2">
      <c r="A1" s="64" t="s">
        <v>13</v>
      </c>
      <c r="B1" s="64" t="s">
        <v>14</v>
      </c>
      <c r="C1" s="64" t="s">
        <v>15</v>
      </c>
      <c r="D1" s="64" t="s">
        <v>16</v>
      </c>
      <c r="E1" s="64" t="s">
        <v>17</v>
      </c>
      <c r="F1" s="64" t="s">
        <v>18</v>
      </c>
      <c r="G1" s="64" t="s">
        <v>19</v>
      </c>
      <c r="H1" s="64" t="s">
        <v>20</v>
      </c>
      <c r="I1" s="64" t="s">
        <v>21</v>
      </c>
      <c r="J1" s="64" t="s">
        <v>22</v>
      </c>
    </row>
    <row r="2" spans="1:10" ht="72" customHeight="1" x14ac:dyDescent="0.2">
      <c r="A2" s="18">
        <v>65</v>
      </c>
      <c r="B2" s="19" t="s">
        <v>23</v>
      </c>
      <c r="C2" s="65" t="s">
        <v>279</v>
      </c>
      <c r="D2" s="65" t="s">
        <v>280</v>
      </c>
      <c r="E2" s="65" t="s">
        <v>281</v>
      </c>
      <c r="F2" s="6">
        <v>5</v>
      </c>
      <c r="G2" s="65" t="s">
        <v>27</v>
      </c>
      <c r="H2" s="21">
        <v>0</v>
      </c>
      <c r="I2" s="65" t="s">
        <v>281</v>
      </c>
      <c r="J2" s="6">
        <v>5</v>
      </c>
    </row>
    <row r="3" spans="1:10" ht="72" customHeight="1" x14ac:dyDescent="0.2">
      <c r="A3" s="18">
        <v>66</v>
      </c>
      <c r="B3" s="19" t="s">
        <v>23</v>
      </c>
      <c r="C3" s="22" t="s">
        <v>282</v>
      </c>
      <c r="D3" s="22" t="s">
        <v>283</v>
      </c>
      <c r="E3" s="22" t="s">
        <v>284</v>
      </c>
      <c r="F3" s="6">
        <v>5</v>
      </c>
      <c r="G3" s="22" t="s">
        <v>27</v>
      </c>
      <c r="H3" s="21">
        <v>0</v>
      </c>
      <c r="I3" s="22" t="s">
        <v>284</v>
      </c>
      <c r="J3" s="6">
        <v>5</v>
      </c>
    </row>
    <row r="4" spans="1:10" ht="72" customHeight="1" x14ac:dyDescent="0.2">
      <c r="A4" s="18">
        <v>67</v>
      </c>
      <c r="B4" s="19" t="s">
        <v>23</v>
      </c>
      <c r="C4" s="65" t="s">
        <v>285</v>
      </c>
      <c r="D4" s="65" t="s">
        <v>286</v>
      </c>
      <c r="E4" s="65" t="s">
        <v>287</v>
      </c>
      <c r="F4" s="6">
        <v>5</v>
      </c>
      <c r="G4" s="65" t="s">
        <v>27</v>
      </c>
      <c r="H4" s="21">
        <v>0</v>
      </c>
      <c r="I4" s="65" t="s">
        <v>287</v>
      </c>
      <c r="J4" s="6">
        <v>5</v>
      </c>
    </row>
    <row r="5" spans="1:10" ht="72" customHeight="1" x14ac:dyDescent="0.2">
      <c r="A5" s="24">
        <v>68</v>
      </c>
      <c r="B5" s="25" t="s">
        <v>23</v>
      </c>
      <c r="C5" s="26" t="s">
        <v>288</v>
      </c>
      <c r="D5" s="26" t="s">
        <v>289</v>
      </c>
      <c r="E5" s="26" t="s">
        <v>290</v>
      </c>
      <c r="F5" s="27">
        <v>5</v>
      </c>
      <c r="G5" s="26" t="s">
        <v>290</v>
      </c>
      <c r="H5" s="27">
        <v>5</v>
      </c>
      <c r="I5" s="26" t="s">
        <v>290</v>
      </c>
      <c r="J5" s="27">
        <v>5</v>
      </c>
    </row>
    <row r="6" spans="1:10" ht="72" customHeight="1" x14ac:dyDescent="0.2">
      <c r="A6" s="28">
        <v>69</v>
      </c>
      <c r="B6" s="29" t="s">
        <v>42</v>
      </c>
      <c r="C6" s="65" t="s">
        <v>291</v>
      </c>
      <c r="D6" s="65" t="s">
        <v>292</v>
      </c>
      <c r="E6" s="65" t="s">
        <v>293</v>
      </c>
      <c r="F6" s="21">
        <v>0</v>
      </c>
      <c r="G6" s="65" t="s">
        <v>294</v>
      </c>
      <c r="H6" s="6">
        <v>5</v>
      </c>
      <c r="I6" s="65" t="s">
        <v>295</v>
      </c>
      <c r="J6" s="6">
        <v>5</v>
      </c>
    </row>
    <row r="7" spans="1:10" ht="72" customHeight="1" x14ac:dyDescent="0.2">
      <c r="A7" s="28">
        <v>70</v>
      </c>
      <c r="B7" s="29" t="s">
        <v>42</v>
      </c>
      <c r="C7" s="22" t="s">
        <v>296</v>
      </c>
      <c r="D7" s="22" t="s">
        <v>297</v>
      </c>
      <c r="E7" s="22" t="s">
        <v>298</v>
      </c>
      <c r="F7" s="6">
        <v>5</v>
      </c>
      <c r="G7" s="22" t="s">
        <v>27</v>
      </c>
      <c r="H7" s="21">
        <v>0</v>
      </c>
      <c r="I7" s="22" t="s">
        <v>299</v>
      </c>
      <c r="J7" s="21">
        <v>0</v>
      </c>
    </row>
    <row r="8" spans="1:10" ht="72" customHeight="1" x14ac:dyDescent="0.2">
      <c r="A8" s="28">
        <v>71</v>
      </c>
      <c r="B8" s="29" t="s">
        <v>42</v>
      </c>
      <c r="C8" s="65" t="s">
        <v>300</v>
      </c>
      <c r="D8" s="65" t="s">
        <v>301</v>
      </c>
      <c r="E8" s="65" t="s">
        <v>302</v>
      </c>
      <c r="F8" s="6">
        <v>5</v>
      </c>
      <c r="G8" s="65" t="s">
        <v>27</v>
      </c>
      <c r="H8" s="21">
        <v>0</v>
      </c>
      <c r="I8" s="65" t="s">
        <v>303</v>
      </c>
      <c r="J8" s="6">
        <v>5</v>
      </c>
    </row>
    <row r="9" spans="1:10" ht="72" customHeight="1" x14ac:dyDescent="0.2">
      <c r="A9" s="31">
        <v>72</v>
      </c>
      <c r="B9" s="32" t="s">
        <v>42</v>
      </c>
      <c r="C9" s="26" t="s">
        <v>304</v>
      </c>
      <c r="D9" s="26" t="s">
        <v>305</v>
      </c>
      <c r="E9" s="26" t="s">
        <v>161</v>
      </c>
      <c r="F9" s="33">
        <v>0</v>
      </c>
      <c r="G9" s="26" t="s">
        <v>27</v>
      </c>
      <c r="H9" s="33">
        <v>0</v>
      </c>
      <c r="I9" s="26" t="s">
        <v>306</v>
      </c>
      <c r="J9" s="33">
        <v>0</v>
      </c>
    </row>
    <row r="10" spans="1:10" ht="72" customHeight="1" x14ac:dyDescent="0.2">
      <c r="A10" s="34">
        <v>73</v>
      </c>
      <c r="B10" s="35" t="s">
        <v>58</v>
      </c>
      <c r="C10" s="65" t="s">
        <v>307</v>
      </c>
      <c r="D10" s="65" t="s">
        <v>308</v>
      </c>
      <c r="E10" s="65" t="s">
        <v>309</v>
      </c>
      <c r="F10" s="6">
        <v>5</v>
      </c>
      <c r="G10" s="65" t="s">
        <v>27</v>
      </c>
      <c r="H10" s="21">
        <v>0</v>
      </c>
      <c r="I10" s="65" t="s">
        <v>310</v>
      </c>
      <c r="J10" s="6">
        <v>5</v>
      </c>
    </row>
    <row r="11" spans="1:10" ht="72" customHeight="1" x14ac:dyDescent="0.2">
      <c r="A11" s="34">
        <v>74</v>
      </c>
      <c r="B11" s="35" t="s">
        <v>58</v>
      </c>
      <c r="C11" s="22" t="s">
        <v>311</v>
      </c>
      <c r="D11" s="22" t="s">
        <v>312</v>
      </c>
      <c r="E11" s="22" t="s">
        <v>313</v>
      </c>
      <c r="F11" s="6">
        <v>5</v>
      </c>
      <c r="G11" s="22" t="s">
        <v>314</v>
      </c>
      <c r="H11" s="6">
        <v>5</v>
      </c>
      <c r="I11" s="22" t="s">
        <v>315</v>
      </c>
      <c r="J11" s="6">
        <v>5</v>
      </c>
    </row>
    <row r="12" spans="1:10" ht="72" customHeight="1" x14ac:dyDescent="0.2">
      <c r="A12" s="34">
        <v>75</v>
      </c>
      <c r="B12" s="35" t="s">
        <v>58</v>
      </c>
      <c r="C12" s="65" t="s">
        <v>316</v>
      </c>
      <c r="D12" s="65" t="s">
        <v>317</v>
      </c>
      <c r="E12" s="65" t="s">
        <v>318</v>
      </c>
      <c r="F12" s="6">
        <v>5</v>
      </c>
      <c r="G12" s="65" t="s">
        <v>27</v>
      </c>
      <c r="H12" s="21">
        <v>0</v>
      </c>
      <c r="I12" s="65" t="s">
        <v>319</v>
      </c>
      <c r="J12" s="6">
        <v>5</v>
      </c>
    </row>
    <row r="13" spans="1:10" ht="72" customHeight="1" x14ac:dyDescent="0.2">
      <c r="A13" s="36">
        <v>76</v>
      </c>
      <c r="B13" s="37" t="s">
        <v>58</v>
      </c>
      <c r="C13" s="26" t="s">
        <v>320</v>
      </c>
      <c r="D13" s="26" t="s">
        <v>321</v>
      </c>
      <c r="E13" s="26" t="s">
        <v>322</v>
      </c>
      <c r="F13" s="27">
        <v>5</v>
      </c>
      <c r="G13" s="26" t="s">
        <v>27</v>
      </c>
      <c r="H13" s="33">
        <v>0</v>
      </c>
      <c r="I13" s="26" t="s">
        <v>323</v>
      </c>
      <c r="J13" s="27">
        <v>5</v>
      </c>
    </row>
    <row r="14" spans="1:10" ht="72" customHeight="1" x14ac:dyDescent="0.2">
      <c r="A14" s="38">
        <v>77</v>
      </c>
      <c r="B14" s="39" t="s">
        <v>75</v>
      </c>
      <c r="C14" s="65" t="s">
        <v>324</v>
      </c>
      <c r="D14" s="65" t="s">
        <v>325</v>
      </c>
      <c r="E14" s="65" t="s">
        <v>326</v>
      </c>
      <c r="F14" s="21">
        <v>0</v>
      </c>
      <c r="G14" s="65" t="s">
        <v>27</v>
      </c>
      <c r="H14" s="21">
        <v>0</v>
      </c>
      <c r="I14" s="65" t="s">
        <v>327</v>
      </c>
      <c r="J14" s="40">
        <v>4</v>
      </c>
    </row>
    <row r="15" spans="1:10" ht="72" customHeight="1" x14ac:dyDescent="0.2">
      <c r="A15" s="38">
        <v>78</v>
      </c>
      <c r="B15" s="39" t="s">
        <v>75</v>
      </c>
      <c r="C15" s="22" t="s">
        <v>328</v>
      </c>
      <c r="D15" s="22" t="s">
        <v>329</v>
      </c>
      <c r="E15" s="22" t="s">
        <v>330</v>
      </c>
      <c r="F15" s="6">
        <v>5</v>
      </c>
      <c r="G15" s="22" t="s">
        <v>27</v>
      </c>
      <c r="H15" s="21">
        <v>0</v>
      </c>
      <c r="I15" s="22" t="s">
        <v>331</v>
      </c>
      <c r="J15" s="21">
        <v>0</v>
      </c>
    </row>
    <row r="16" spans="1:10" ht="72" customHeight="1" x14ac:dyDescent="0.2">
      <c r="A16" s="38">
        <v>79</v>
      </c>
      <c r="B16" s="39" t="s">
        <v>75</v>
      </c>
      <c r="C16" s="65" t="s">
        <v>332</v>
      </c>
      <c r="D16" s="65" t="s">
        <v>333</v>
      </c>
      <c r="E16" s="65" t="s">
        <v>334</v>
      </c>
      <c r="F16" s="6">
        <v>5</v>
      </c>
      <c r="G16" s="65" t="s">
        <v>27</v>
      </c>
      <c r="H16" s="21">
        <v>0</v>
      </c>
      <c r="I16" s="65" t="s">
        <v>27</v>
      </c>
      <c r="J16" s="21">
        <v>0</v>
      </c>
    </row>
    <row r="17" spans="1:10" ht="72" customHeight="1" x14ac:dyDescent="0.2">
      <c r="A17" s="41">
        <v>80</v>
      </c>
      <c r="B17" s="42" t="s">
        <v>75</v>
      </c>
      <c r="C17" s="26" t="s">
        <v>335</v>
      </c>
      <c r="D17" s="26" t="s">
        <v>336</v>
      </c>
      <c r="E17" s="26" t="s">
        <v>337</v>
      </c>
      <c r="F17" s="27">
        <v>5</v>
      </c>
      <c r="G17" s="26" t="s">
        <v>27</v>
      </c>
      <c r="H17" s="33">
        <v>0</v>
      </c>
      <c r="I17" s="26" t="s">
        <v>27</v>
      </c>
      <c r="J17" s="33">
        <v>0</v>
      </c>
    </row>
    <row r="18" spans="1:10" ht="22" customHeight="1" x14ac:dyDescent="0.2">
      <c r="A18" s="66" t="s">
        <v>91</v>
      </c>
      <c r="E18" s="67" t="s">
        <v>92</v>
      </c>
      <c r="F18" s="68">
        <f>AVERAGE(F2:F17)</f>
        <v>4.0625</v>
      </c>
      <c r="G18" s="67" t="s">
        <v>93</v>
      </c>
      <c r="H18" s="68">
        <f>AVERAGE(H2:H17)</f>
        <v>0.9375</v>
      </c>
      <c r="I18" s="67" t="s">
        <v>94</v>
      </c>
      <c r="J18" s="68">
        <f>AVERAGE(J2:J17)</f>
        <v>3.375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A436-FD74-0040-9B1E-9AED5C1160C8}">
  <dimension ref="A1:M81"/>
  <sheetViews>
    <sheetView tabSelected="1" workbookViewId="0">
      <selection activeCell="M36" sqref="M36"/>
    </sheetView>
  </sheetViews>
  <sheetFormatPr baseColWidth="10" defaultRowHeight="15" x14ac:dyDescent="0.2"/>
  <cols>
    <col min="1" max="1" width="13.1640625" customWidth="1"/>
    <col min="6" max="6" width="28.5" bestFit="1" customWidth="1"/>
    <col min="7" max="7" width="16" bestFit="1" customWidth="1"/>
    <col min="8" max="8" width="13" bestFit="1" customWidth="1"/>
    <col min="11" max="11" width="28.5" bestFit="1" customWidth="1"/>
    <col min="12" max="12" width="16" bestFit="1" customWidth="1"/>
    <col min="13" max="13" width="19.1640625" bestFit="1" customWidth="1"/>
  </cols>
  <sheetData>
    <row r="1" spans="1:13" ht="30" x14ac:dyDescent="0.2">
      <c r="A1" s="17" t="s">
        <v>18</v>
      </c>
      <c r="B1" s="17" t="s">
        <v>20</v>
      </c>
      <c r="C1" s="17" t="s">
        <v>22</v>
      </c>
    </row>
    <row r="2" spans="1:13" x14ac:dyDescent="0.2">
      <c r="A2" s="6">
        <v>5</v>
      </c>
      <c r="B2" s="21">
        <v>0</v>
      </c>
      <c r="C2" s="21">
        <v>0</v>
      </c>
    </row>
    <row r="3" spans="1:13" x14ac:dyDescent="0.2">
      <c r="A3" s="6">
        <v>5</v>
      </c>
      <c r="B3" s="6">
        <v>5</v>
      </c>
      <c r="C3" s="6">
        <v>5</v>
      </c>
    </row>
    <row r="4" spans="1:13" x14ac:dyDescent="0.2">
      <c r="A4" s="23">
        <v>5</v>
      </c>
      <c r="B4" s="6">
        <v>5</v>
      </c>
      <c r="C4" s="6">
        <v>5</v>
      </c>
    </row>
    <row r="5" spans="1:13" ht="16" thickBot="1" x14ac:dyDescent="0.25">
      <c r="A5" s="27">
        <v>5</v>
      </c>
      <c r="B5" s="27">
        <v>5</v>
      </c>
      <c r="C5" s="27">
        <v>5</v>
      </c>
      <c r="F5" t="s">
        <v>338</v>
      </c>
      <c r="K5" t="s">
        <v>338</v>
      </c>
    </row>
    <row r="6" spans="1:13" ht="16" thickBot="1" x14ac:dyDescent="0.25">
      <c r="A6" s="6">
        <v>5</v>
      </c>
      <c r="B6" s="21">
        <v>0</v>
      </c>
      <c r="C6" s="30">
        <v>2</v>
      </c>
    </row>
    <row r="7" spans="1:13" x14ac:dyDescent="0.2">
      <c r="A7" s="21">
        <v>0</v>
      </c>
      <c r="B7" s="21">
        <v>0</v>
      </c>
      <c r="C7" s="21">
        <v>0</v>
      </c>
      <c r="F7" s="71"/>
      <c r="G7" s="71" t="s">
        <v>18</v>
      </c>
      <c r="H7" s="71" t="s">
        <v>20</v>
      </c>
      <c r="K7" s="71"/>
      <c r="L7" s="71" t="s">
        <v>18</v>
      </c>
      <c r="M7" s="71" t="s">
        <v>22</v>
      </c>
    </row>
    <row r="8" spans="1:13" x14ac:dyDescent="0.2">
      <c r="A8" s="6">
        <v>5</v>
      </c>
      <c r="B8" s="21">
        <v>0</v>
      </c>
      <c r="C8" s="23">
        <v>4</v>
      </c>
      <c r="F8" s="69" t="s">
        <v>339</v>
      </c>
      <c r="G8" s="72">
        <v>3.75</v>
      </c>
      <c r="H8" s="72">
        <v>1.2875000000000001</v>
      </c>
      <c r="K8" s="69" t="s">
        <v>339</v>
      </c>
      <c r="L8" s="72">
        <v>3.75</v>
      </c>
      <c r="M8" s="72">
        <v>2.8624999999999998</v>
      </c>
    </row>
    <row r="9" spans="1:13" ht="16" thickBot="1" x14ac:dyDescent="0.25">
      <c r="A9" s="27">
        <v>5</v>
      </c>
      <c r="B9" s="33">
        <v>0</v>
      </c>
      <c r="C9" s="27">
        <v>5</v>
      </c>
      <c r="F9" s="69" t="s">
        <v>340</v>
      </c>
      <c r="G9" s="72">
        <v>4.2405063291139244</v>
      </c>
      <c r="H9" s="72">
        <v>4.6378164556962025</v>
      </c>
      <c r="K9" s="69" t="s">
        <v>340</v>
      </c>
      <c r="L9" s="72">
        <v>4.2405063291139244</v>
      </c>
      <c r="M9" s="72">
        <v>4.8542721518987335</v>
      </c>
    </row>
    <row r="10" spans="1:13" x14ac:dyDescent="0.2">
      <c r="A10" s="6">
        <v>5</v>
      </c>
      <c r="B10" s="21">
        <v>0</v>
      </c>
      <c r="C10" s="21">
        <v>0</v>
      </c>
      <c r="F10" s="69" t="s">
        <v>341</v>
      </c>
      <c r="G10" s="72">
        <v>80</v>
      </c>
      <c r="H10" s="72">
        <v>80</v>
      </c>
      <c r="K10" s="69" t="s">
        <v>341</v>
      </c>
      <c r="L10" s="72">
        <v>80</v>
      </c>
      <c r="M10" s="72">
        <v>80</v>
      </c>
    </row>
    <row r="11" spans="1:13" x14ac:dyDescent="0.2">
      <c r="A11" s="30">
        <v>2</v>
      </c>
      <c r="B11" s="21">
        <v>0</v>
      </c>
      <c r="C11" s="21">
        <v>0</v>
      </c>
      <c r="F11" s="69" t="s">
        <v>342</v>
      </c>
      <c r="G11" s="72">
        <v>0.21050833531633767</v>
      </c>
      <c r="H11" s="72"/>
      <c r="K11" s="69" t="s">
        <v>342</v>
      </c>
      <c r="L11" s="72">
        <v>0.52521482368769601</v>
      </c>
      <c r="M11" s="72"/>
    </row>
    <row r="12" spans="1:13" x14ac:dyDescent="0.2">
      <c r="A12" s="6">
        <v>5</v>
      </c>
      <c r="B12" s="6">
        <v>5</v>
      </c>
      <c r="C12" s="6">
        <v>5</v>
      </c>
      <c r="F12" s="69" t="s">
        <v>343</v>
      </c>
      <c r="G12" s="72">
        <v>0</v>
      </c>
      <c r="H12" s="72"/>
      <c r="K12" s="69" t="s">
        <v>343</v>
      </c>
      <c r="L12" s="72">
        <v>0</v>
      </c>
      <c r="M12" s="72"/>
    </row>
    <row r="13" spans="1:13" ht="16" thickBot="1" x14ac:dyDescent="0.25">
      <c r="A13" s="33">
        <v>0</v>
      </c>
      <c r="B13" s="33">
        <v>0</v>
      </c>
      <c r="C13" s="33">
        <v>0</v>
      </c>
      <c r="F13" s="69" t="s">
        <v>344</v>
      </c>
      <c r="G13" s="72">
        <v>79</v>
      </c>
      <c r="H13" s="72"/>
      <c r="K13" s="69" t="s">
        <v>344</v>
      </c>
      <c r="L13" s="72">
        <v>79</v>
      </c>
      <c r="M13" s="72"/>
    </row>
    <row r="14" spans="1:13" x14ac:dyDescent="0.2">
      <c r="A14" s="23">
        <v>5</v>
      </c>
      <c r="B14" s="21">
        <v>0</v>
      </c>
      <c r="C14" s="21">
        <v>0</v>
      </c>
      <c r="F14" s="69" t="s">
        <v>345</v>
      </c>
      <c r="G14" s="72">
        <v>8.3180973007636592</v>
      </c>
      <c r="H14" s="72"/>
      <c r="K14" s="69" t="s">
        <v>345</v>
      </c>
      <c r="L14" s="72">
        <v>3.8152393142838066</v>
      </c>
      <c r="M14" s="72"/>
    </row>
    <row r="15" spans="1:13" x14ac:dyDescent="0.2">
      <c r="A15" s="21">
        <v>4</v>
      </c>
      <c r="B15" s="21">
        <v>0</v>
      </c>
      <c r="C15" s="40">
        <v>0</v>
      </c>
      <c r="F15" s="69" t="s">
        <v>346</v>
      </c>
      <c r="G15" s="72">
        <v>1.0447718313289225E-12</v>
      </c>
      <c r="H15" s="72"/>
      <c r="K15" s="69" t="s">
        <v>346</v>
      </c>
      <c r="L15" s="72">
        <v>1.3435384228109061E-4</v>
      </c>
      <c r="M15" s="72"/>
    </row>
    <row r="16" spans="1:13" x14ac:dyDescent="0.2">
      <c r="A16" s="6">
        <v>5</v>
      </c>
      <c r="B16" s="21">
        <v>0</v>
      </c>
      <c r="C16" s="21">
        <v>0</v>
      </c>
      <c r="F16" s="69" t="s">
        <v>347</v>
      </c>
      <c r="G16" s="72">
        <v>1.6643714091365507</v>
      </c>
      <c r="H16" s="72"/>
      <c r="K16" s="69" t="s">
        <v>347</v>
      </c>
      <c r="L16" s="72">
        <v>1.6643714091365507</v>
      </c>
      <c r="M16" s="72"/>
    </row>
    <row r="17" spans="1:13" ht="16" thickBot="1" x14ac:dyDescent="0.25">
      <c r="A17" s="27">
        <v>5</v>
      </c>
      <c r="B17" s="33">
        <v>0</v>
      </c>
      <c r="C17" s="43">
        <v>5</v>
      </c>
      <c r="F17" s="69" t="s">
        <v>348</v>
      </c>
      <c r="G17" s="74">
        <v>2.089543662657845E-12</v>
      </c>
      <c r="H17" s="72"/>
      <c r="K17" s="69" t="s">
        <v>348</v>
      </c>
      <c r="L17" s="74">
        <v>2.6870768456218122E-4</v>
      </c>
      <c r="M17" s="72"/>
    </row>
    <row r="18" spans="1:13" ht="16" thickBot="1" x14ac:dyDescent="0.25">
      <c r="A18" s="6">
        <v>5</v>
      </c>
      <c r="B18" s="6">
        <v>5</v>
      </c>
      <c r="C18" s="6">
        <v>5</v>
      </c>
      <c r="F18" s="70" t="s">
        <v>349</v>
      </c>
      <c r="G18" s="73">
        <v>1.9904502102301287</v>
      </c>
      <c r="H18" s="73"/>
      <c r="K18" s="70" t="s">
        <v>349</v>
      </c>
      <c r="L18" s="73">
        <v>1.9904502102301287</v>
      </c>
      <c r="M18" s="73"/>
    </row>
    <row r="19" spans="1:13" x14ac:dyDescent="0.2">
      <c r="A19" s="6">
        <v>5</v>
      </c>
      <c r="B19" s="21">
        <v>0</v>
      </c>
      <c r="C19" s="6">
        <v>5</v>
      </c>
    </row>
    <row r="20" spans="1:13" x14ac:dyDescent="0.2">
      <c r="A20" s="6">
        <v>5</v>
      </c>
      <c r="B20" s="21">
        <v>0</v>
      </c>
      <c r="C20" s="6">
        <v>5</v>
      </c>
    </row>
    <row r="21" spans="1:13" ht="16" thickBot="1" x14ac:dyDescent="0.25">
      <c r="A21" s="27">
        <v>5</v>
      </c>
      <c r="B21" s="33">
        <v>0</v>
      </c>
      <c r="C21" s="27">
        <v>5</v>
      </c>
    </row>
    <row r="22" spans="1:13" x14ac:dyDescent="0.2">
      <c r="A22" s="23">
        <v>5</v>
      </c>
      <c r="B22" s="21">
        <v>0</v>
      </c>
      <c r="C22" s="23">
        <v>4</v>
      </c>
    </row>
    <row r="23" spans="1:13" x14ac:dyDescent="0.2">
      <c r="A23" s="21">
        <v>0</v>
      </c>
      <c r="B23" s="16">
        <v>2</v>
      </c>
      <c r="C23" s="16">
        <v>1</v>
      </c>
    </row>
    <row r="24" spans="1:13" x14ac:dyDescent="0.2">
      <c r="A24" s="21">
        <v>5</v>
      </c>
      <c r="B24" s="21">
        <v>5</v>
      </c>
      <c r="C24" s="21">
        <v>5</v>
      </c>
    </row>
    <row r="25" spans="1:13" ht="16" thickBot="1" x14ac:dyDescent="0.25">
      <c r="A25" s="27">
        <v>5</v>
      </c>
      <c r="B25" s="33">
        <v>0</v>
      </c>
      <c r="C25" s="33">
        <v>0</v>
      </c>
      <c r="G25">
        <f>SQRT(G9)</f>
        <v>2.0592489721046179</v>
      </c>
      <c r="H25">
        <f>SQRT(H9)</f>
        <v>2.1535590207134336</v>
      </c>
      <c r="L25">
        <f>SQRT(L9)</f>
        <v>2.0592489721046179</v>
      </c>
      <c r="M25">
        <f>SQRT(M9)</f>
        <v>2.203241283177749</v>
      </c>
    </row>
    <row r="26" spans="1:13" x14ac:dyDescent="0.2">
      <c r="A26" s="30">
        <v>4</v>
      </c>
      <c r="B26" s="21">
        <v>0</v>
      </c>
      <c r="C26" s="40">
        <v>2</v>
      </c>
    </row>
    <row r="27" spans="1:13" x14ac:dyDescent="0.2">
      <c r="A27" s="6">
        <v>5</v>
      </c>
      <c r="B27" s="21">
        <v>0</v>
      </c>
      <c r="C27" s="6">
        <v>4</v>
      </c>
    </row>
    <row r="28" spans="1:13" x14ac:dyDescent="0.2">
      <c r="A28" s="6">
        <v>5</v>
      </c>
      <c r="B28" s="6">
        <v>4</v>
      </c>
      <c r="C28" s="23">
        <v>4</v>
      </c>
    </row>
    <row r="29" spans="1:13" ht="16" thickBot="1" x14ac:dyDescent="0.25">
      <c r="A29" s="33">
        <v>0</v>
      </c>
      <c r="B29" s="33">
        <v>0</v>
      </c>
      <c r="C29" s="49">
        <v>1</v>
      </c>
    </row>
    <row r="30" spans="1:13" x14ac:dyDescent="0.2">
      <c r="A30" s="21">
        <v>5</v>
      </c>
      <c r="B30" s="21">
        <v>5</v>
      </c>
      <c r="C30" s="21">
        <v>5</v>
      </c>
    </row>
    <row r="31" spans="1:13" x14ac:dyDescent="0.2">
      <c r="A31" s="15">
        <v>5</v>
      </c>
      <c r="B31" s="15">
        <v>5</v>
      </c>
      <c r="C31" s="9">
        <v>4</v>
      </c>
    </row>
    <row r="32" spans="1:13" x14ac:dyDescent="0.2">
      <c r="A32" s="16">
        <v>5</v>
      </c>
      <c r="B32" s="21">
        <v>0</v>
      </c>
      <c r="C32" s="40">
        <v>4</v>
      </c>
    </row>
    <row r="33" spans="1:3" ht="16" thickBot="1" x14ac:dyDescent="0.25">
      <c r="A33" s="33">
        <v>5</v>
      </c>
      <c r="B33" s="33">
        <v>5</v>
      </c>
      <c r="C33" s="33">
        <v>5</v>
      </c>
    </row>
    <row r="34" spans="1:3" x14ac:dyDescent="0.2">
      <c r="A34" s="6">
        <v>5</v>
      </c>
      <c r="B34" s="6">
        <v>5</v>
      </c>
      <c r="C34" s="6">
        <v>5</v>
      </c>
    </row>
    <row r="35" spans="1:3" x14ac:dyDescent="0.2">
      <c r="A35" s="21">
        <v>0</v>
      </c>
      <c r="B35" s="21">
        <v>0</v>
      </c>
      <c r="C35" s="21">
        <v>0</v>
      </c>
    </row>
    <row r="36" spans="1:3" x14ac:dyDescent="0.2">
      <c r="A36" s="6">
        <v>5</v>
      </c>
      <c r="B36" s="30">
        <v>2</v>
      </c>
      <c r="C36" s="6">
        <v>5</v>
      </c>
    </row>
    <row r="37" spans="1:3" ht="16" thickBot="1" x14ac:dyDescent="0.25">
      <c r="A37" s="33">
        <v>1</v>
      </c>
      <c r="B37" s="55">
        <v>5</v>
      </c>
      <c r="C37" s="33">
        <v>0</v>
      </c>
    </row>
    <row r="38" spans="1:3" x14ac:dyDescent="0.2">
      <c r="A38" s="40">
        <v>4</v>
      </c>
      <c r="B38" s="21">
        <v>0</v>
      </c>
      <c r="C38" s="6">
        <v>3</v>
      </c>
    </row>
    <row r="39" spans="1:3" x14ac:dyDescent="0.2">
      <c r="A39" s="21">
        <v>0</v>
      </c>
      <c r="B39" s="21">
        <v>0</v>
      </c>
      <c r="C39" s="21">
        <v>0</v>
      </c>
    </row>
    <row r="40" spans="1:3" x14ac:dyDescent="0.2">
      <c r="A40" s="30">
        <v>5</v>
      </c>
      <c r="B40" s="21">
        <v>0</v>
      </c>
      <c r="C40" s="23">
        <v>4</v>
      </c>
    </row>
    <row r="41" spans="1:3" ht="16" thickBot="1" x14ac:dyDescent="0.25">
      <c r="A41" s="33">
        <v>0</v>
      </c>
      <c r="B41" s="33">
        <v>0</v>
      </c>
      <c r="C41" s="33">
        <v>0</v>
      </c>
    </row>
    <row r="42" spans="1:3" x14ac:dyDescent="0.2">
      <c r="A42" s="6">
        <v>5</v>
      </c>
      <c r="B42" s="21">
        <v>0</v>
      </c>
      <c r="C42" s="23">
        <v>4</v>
      </c>
    </row>
    <row r="43" spans="1:3" x14ac:dyDescent="0.2">
      <c r="A43" s="6">
        <v>5</v>
      </c>
      <c r="B43" s="21">
        <v>0</v>
      </c>
      <c r="C43" s="21">
        <v>0</v>
      </c>
    </row>
    <row r="44" spans="1:3" x14ac:dyDescent="0.2">
      <c r="A44" s="40">
        <v>4</v>
      </c>
      <c r="B44" s="21">
        <v>0</v>
      </c>
      <c r="C44" s="23">
        <v>4</v>
      </c>
    </row>
    <row r="45" spans="1:3" ht="16" thickBot="1" x14ac:dyDescent="0.25">
      <c r="A45" s="27">
        <v>5</v>
      </c>
      <c r="B45" s="33">
        <v>0</v>
      </c>
      <c r="C45" s="27">
        <v>5</v>
      </c>
    </row>
    <row r="46" spans="1:3" x14ac:dyDescent="0.2">
      <c r="A46" s="15">
        <v>4</v>
      </c>
      <c r="B46" s="21">
        <v>0</v>
      </c>
      <c r="C46" s="23">
        <v>4</v>
      </c>
    </row>
    <row r="47" spans="1:3" x14ac:dyDescent="0.2">
      <c r="A47" s="21">
        <v>0</v>
      </c>
      <c r="B47" s="21">
        <v>0</v>
      </c>
      <c r="C47" s="21">
        <v>0</v>
      </c>
    </row>
    <row r="48" spans="1:3" x14ac:dyDescent="0.2">
      <c r="A48" s="6">
        <v>5</v>
      </c>
      <c r="B48" s="21">
        <v>0</v>
      </c>
      <c r="C48" s="40">
        <v>4</v>
      </c>
    </row>
    <row r="49" spans="1:3" ht="16" thickBot="1" x14ac:dyDescent="0.25">
      <c r="A49" s="27">
        <v>5</v>
      </c>
      <c r="B49" s="33">
        <v>0</v>
      </c>
      <c r="C49" s="27">
        <v>5</v>
      </c>
    </row>
    <row r="50" spans="1:3" x14ac:dyDescent="0.2">
      <c r="A50" s="6">
        <v>5</v>
      </c>
      <c r="B50" s="6">
        <v>5</v>
      </c>
      <c r="C50" s="6">
        <v>5</v>
      </c>
    </row>
    <row r="51" spans="1:3" x14ac:dyDescent="0.2">
      <c r="A51" s="6">
        <v>5</v>
      </c>
      <c r="B51" s="21">
        <v>0</v>
      </c>
      <c r="C51" s="30">
        <v>2</v>
      </c>
    </row>
    <row r="52" spans="1:3" x14ac:dyDescent="0.2">
      <c r="A52" s="6">
        <v>5</v>
      </c>
      <c r="B52" s="6">
        <v>5</v>
      </c>
      <c r="C52" s="6">
        <v>5</v>
      </c>
    </row>
    <row r="53" spans="1:3" ht="16" thickBot="1" x14ac:dyDescent="0.25">
      <c r="A53" s="27">
        <v>5</v>
      </c>
      <c r="B53" s="27">
        <v>5</v>
      </c>
      <c r="C53" s="27">
        <v>5</v>
      </c>
    </row>
    <row r="54" spans="1:3" x14ac:dyDescent="0.2">
      <c r="A54" s="21">
        <v>0</v>
      </c>
      <c r="B54" s="21">
        <v>0</v>
      </c>
      <c r="C54" s="21">
        <v>0</v>
      </c>
    </row>
    <row r="55" spans="1:3" x14ac:dyDescent="0.2">
      <c r="A55" s="21">
        <v>0</v>
      </c>
      <c r="B55" s="21">
        <v>0</v>
      </c>
      <c r="C55" s="21">
        <v>0</v>
      </c>
    </row>
    <row r="56" spans="1:3" x14ac:dyDescent="0.2">
      <c r="A56" s="21">
        <v>0</v>
      </c>
      <c r="B56" s="21">
        <v>0</v>
      </c>
      <c r="C56" s="30">
        <v>2</v>
      </c>
    </row>
    <row r="57" spans="1:3" ht="16" thickBot="1" x14ac:dyDescent="0.25">
      <c r="A57" s="33">
        <v>0</v>
      </c>
      <c r="B57" s="33">
        <v>0</v>
      </c>
      <c r="C57" s="33">
        <v>0</v>
      </c>
    </row>
    <row r="58" spans="1:3" x14ac:dyDescent="0.2">
      <c r="A58" s="15">
        <v>3</v>
      </c>
      <c r="B58" s="21">
        <v>0</v>
      </c>
      <c r="C58" s="9">
        <v>3</v>
      </c>
    </row>
    <row r="59" spans="1:3" x14ac:dyDescent="0.2">
      <c r="A59" s="6">
        <v>5</v>
      </c>
      <c r="B59" s="6">
        <v>5</v>
      </c>
      <c r="C59" s="21">
        <v>0</v>
      </c>
    </row>
    <row r="60" spans="1:3" x14ac:dyDescent="0.2">
      <c r="A60" s="6">
        <v>5</v>
      </c>
      <c r="B60" s="6">
        <v>5</v>
      </c>
      <c r="C60" s="6">
        <v>5</v>
      </c>
    </row>
    <row r="61" spans="1:3" ht="16" thickBot="1" x14ac:dyDescent="0.25">
      <c r="A61" s="33">
        <v>0</v>
      </c>
      <c r="B61" s="33">
        <v>0</v>
      </c>
      <c r="C61" s="33">
        <v>0</v>
      </c>
    </row>
    <row r="62" spans="1:3" x14ac:dyDescent="0.2">
      <c r="A62" s="40">
        <v>4</v>
      </c>
      <c r="B62" s="21">
        <v>0</v>
      </c>
      <c r="C62" s="40">
        <v>4</v>
      </c>
    </row>
    <row r="63" spans="1:3" x14ac:dyDescent="0.2">
      <c r="A63" s="21">
        <v>0</v>
      </c>
      <c r="B63" s="21">
        <v>0</v>
      </c>
      <c r="C63" s="30">
        <v>2</v>
      </c>
    </row>
    <row r="64" spans="1:3" x14ac:dyDescent="0.2">
      <c r="A64" s="6">
        <v>5</v>
      </c>
      <c r="B64" s="21">
        <v>0</v>
      </c>
      <c r="C64" s="21">
        <v>0</v>
      </c>
    </row>
    <row r="65" spans="1:3" ht="16" thickBot="1" x14ac:dyDescent="0.25">
      <c r="A65" s="27">
        <v>5</v>
      </c>
      <c r="B65" s="33">
        <v>0</v>
      </c>
      <c r="C65" s="43">
        <v>4</v>
      </c>
    </row>
    <row r="66" spans="1:3" x14ac:dyDescent="0.2">
      <c r="A66" s="6">
        <v>5</v>
      </c>
      <c r="B66" s="21">
        <v>0</v>
      </c>
      <c r="C66" s="6">
        <v>5</v>
      </c>
    </row>
    <row r="67" spans="1:3" x14ac:dyDescent="0.2">
      <c r="A67" s="6">
        <v>5</v>
      </c>
      <c r="B67" s="21">
        <v>0</v>
      </c>
      <c r="C67" s="6">
        <v>5</v>
      </c>
    </row>
    <row r="68" spans="1:3" x14ac:dyDescent="0.2">
      <c r="A68" s="6">
        <v>5</v>
      </c>
      <c r="B68" s="21">
        <v>0</v>
      </c>
      <c r="C68" s="6">
        <v>5</v>
      </c>
    </row>
    <row r="69" spans="1:3" ht="16" thickBot="1" x14ac:dyDescent="0.25">
      <c r="A69" s="27">
        <v>5</v>
      </c>
      <c r="B69" s="27">
        <v>5</v>
      </c>
      <c r="C69" s="27">
        <v>5</v>
      </c>
    </row>
    <row r="70" spans="1:3" x14ac:dyDescent="0.2">
      <c r="A70" s="21">
        <v>0</v>
      </c>
      <c r="B70" s="6">
        <v>5</v>
      </c>
      <c r="C70" s="6">
        <v>5</v>
      </c>
    </row>
    <row r="71" spans="1:3" x14ac:dyDescent="0.2">
      <c r="A71" s="6">
        <v>5</v>
      </c>
      <c r="B71" s="21">
        <v>0</v>
      </c>
      <c r="C71" s="21">
        <v>0</v>
      </c>
    </row>
    <row r="72" spans="1:3" x14ac:dyDescent="0.2">
      <c r="A72" s="6">
        <v>5</v>
      </c>
      <c r="B72" s="21">
        <v>0</v>
      </c>
      <c r="C72" s="6">
        <v>5</v>
      </c>
    </row>
    <row r="73" spans="1:3" ht="16" thickBot="1" x14ac:dyDescent="0.25">
      <c r="A73" s="33">
        <v>0</v>
      </c>
      <c r="B73" s="33">
        <v>0</v>
      </c>
      <c r="C73" s="33">
        <v>0</v>
      </c>
    </row>
    <row r="74" spans="1:3" x14ac:dyDescent="0.2">
      <c r="A74" s="6">
        <v>5</v>
      </c>
      <c r="B74" s="21">
        <v>0</v>
      </c>
      <c r="C74" s="6">
        <v>5</v>
      </c>
    </row>
    <row r="75" spans="1:3" x14ac:dyDescent="0.2">
      <c r="A75" s="6">
        <v>5</v>
      </c>
      <c r="B75" s="6">
        <v>5</v>
      </c>
      <c r="C75" s="6">
        <v>5</v>
      </c>
    </row>
    <row r="76" spans="1:3" x14ac:dyDescent="0.2">
      <c r="A76" s="6">
        <v>5</v>
      </c>
      <c r="B76" s="21">
        <v>0</v>
      </c>
      <c r="C76" s="6">
        <v>5</v>
      </c>
    </row>
    <row r="77" spans="1:3" ht="16" thickBot="1" x14ac:dyDescent="0.25">
      <c r="A77" s="27">
        <v>5</v>
      </c>
      <c r="B77" s="33">
        <v>0</v>
      </c>
      <c r="C77" s="27">
        <v>5</v>
      </c>
    </row>
    <row r="78" spans="1:3" x14ac:dyDescent="0.2">
      <c r="A78" s="21">
        <v>0</v>
      </c>
      <c r="B78" s="21">
        <v>0</v>
      </c>
      <c r="C78" s="40">
        <v>4</v>
      </c>
    </row>
    <row r="79" spans="1:3" x14ac:dyDescent="0.2">
      <c r="A79" s="6">
        <v>5</v>
      </c>
      <c r="B79" s="21">
        <v>0</v>
      </c>
      <c r="C79" s="21">
        <v>0</v>
      </c>
    </row>
    <row r="80" spans="1:3" x14ac:dyDescent="0.2">
      <c r="A80" s="6">
        <v>5</v>
      </c>
      <c r="B80" s="21">
        <v>0</v>
      </c>
      <c r="C80" s="21">
        <v>0</v>
      </c>
    </row>
    <row r="81" spans="1:3" ht="16" thickBot="1" x14ac:dyDescent="0.25">
      <c r="A81" s="27">
        <v>5</v>
      </c>
      <c r="B81" s="33">
        <v>0</v>
      </c>
      <c r="C81" s="3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Summary</vt:lpstr>
      <vt:lpstr>Alphabet</vt:lpstr>
      <vt:lpstr>Meta</vt:lpstr>
      <vt:lpstr>IBM</vt:lpstr>
      <vt:lpstr>Microsoft</vt:lpstr>
      <vt:lpstr>Apple</vt:lpstr>
      <vt:lpstr>Consolidated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Narvekar</cp:lastModifiedBy>
  <dcterms:created xsi:type="dcterms:W3CDTF">2026-04-05T18:19:37Z</dcterms:created>
  <dcterms:modified xsi:type="dcterms:W3CDTF">2026-04-06T12:10:04Z</dcterms:modified>
</cp:coreProperties>
</file>